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-Gr\AppData\Local\Temp\"/>
    </mc:Choice>
  </mc:AlternateContent>
  <xr:revisionPtr revIDLastSave="0" documentId="13_ncr:8001_{A5DFF7D9-3CAF-460B-A501-A7DC230B3AAE}" xr6:coauthVersionLast="47" xr6:coauthVersionMax="47" xr10:uidLastSave="{00000000-0000-0000-0000-000000000000}"/>
  <workbookProtection workbookAlgorithmName="SHA-512" workbookHashValue="ICfCRl7Zk9qTAmLH5K5P+8YuPUwBMJHSZbDLSzW3X5AtB21n6btFd2HaWtM1BYRDlvkkw05LzOCi8sCNDJZL1w==" workbookSaltValue="BC+7nRC+ZydxuO6LWZcLKQ==" workbookSpinCount="100000" lockStructure="1"/>
  <bookViews>
    <workbookView xWindow="3984" yWindow="408" windowWidth="19056" windowHeight="8880" xr2:uid="{00000000-000D-0000-FFFF-FFFF00000000}"/>
  </bookViews>
  <sheets>
    <sheet name="PLANTILLA" sheetId="5" r:id="rId1"/>
    <sheet name="EmpleadosGeneral" sheetId="25" state="hidden" r:id="rId2"/>
    <sheet name="Supervisores" sheetId="11" state="hidden" r:id="rId3"/>
    <sheet name="Parámetros" sheetId="3" state="hidden" r:id="rId4"/>
    <sheet name="Festivos" sheetId="4" state="hidden" r:id="rId5"/>
  </sheets>
  <functionGroups builtInGroupCount="19"/>
  <definedNames>
    <definedName name="Anio" localSheetId="3">Parámetros!$AE$5</definedName>
    <definedName name="Anios">Parámetros!$L$5:$L$8</definedName>
    <definedName name="Codigos">Parámetros!$G$5:$G$26</definedName>
    <definedName name="CodigosLista">Parámetros!$J$5:$J$279</definedName>
    <definedName name="Contrasena">Parámetros!$B$13</definedName>
    <definedName name="EmpCedulas">TablaEmpleados[NUMERO DE DOCUMENTO]</definedName>
    <definedName name="EmpNombres">TablaEmpleados[NOMBRE COMPLETO]</definedName>
    <definedName name="FactorDominicalComp">Parámetros!$B$9</definedName>
    <definedName name="FactorDominicalNoComp">Parámetros!$B$10</definedName>
    <definedName name="FestivosFechas">Festivos!$A$2:$A$73</definedName>
    <definedName name="ListaSupervisores">Supervisores!$D$3:$D$11</definedName>
    <definedName name="MapCentro">Supervisores!$B$3:$B$498</definedName>
    <definedName name="MapSup">Supervisores!$A$3:$A$498</definedName>
    <definedName name="MaxDiasQuincena">Parámetros!$B$6</definedName>
    <definedName name="MaxExtra">Parámetros!$B$12</definedName>
    <definedName name="MaxHorasSemana">Parámetros!$B$5</definedName>
    <definedName name="MaxJornalesCentro">Parámetros!$B$7</definedName>
    <definedName name="MaxRecargoNocturno">Parámetros!$B$8</definedName>
    <definedName name="Meses">Parámetros!$E$5:$E$16</definedName>
    <definedName name="MesTexto" localSheetId="3">Parámetros!$W$5</definedName>
    <definedName name="PasoExtra">Parámetros!$B$11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I2" i="5" l="1" a="1"/>
  <c r="AI2" i="5" s="1"/>
  <c r="J6" i="5"/>
  <c r="J7" i="5" s="1"/>
  <c r="D6" i="5"/>
  <c r="D7" i="5" s="1"/>
  <c r="E6" i="5"/>
  <c r="E7" i="5" s="1"/>
  <c r="F6" i="5"/>
  <c r="F7" i="5" s="1"/>
  <c r="G6" i="5"/>
  <c r="G7" i="5" s="1"/>
  <c r="H6" i="5"/>
  <c r="H7" i="5" s="1"/>
  <c r="I6" i="5"/>
  <c r="I7" i="5" s="1"/>
  <c r="K6" i="5"/>
  <c r="K7" i="5" s="1"/>
  <c r="L6" i="5"/>
  <c r="L7" i="5" s="1"/>
  <c r="M6" i="5"/>
  <c r="M7" i="5" s="1"/>
  <c r="N6" i="5"/>
  <c r="N7" i="5" s="1"/>
  <c r="O6" i="5"/>
  <c r="O7" i="5" s="1"/>
  <c r="P6" i="5"/>
  <c r="P7" i="5" s="1"/>
  <c r="Q6" i="5"/>
  <c r="Q7" i="5" s="1"/>
  <c r="R6" i="5"/>
  <c r="R7" i="5" s="1"/>
  <c r="S6" i="5"/>
  <c r="S7" i="5" s="1"/>
  <c r="T6" i="5"/>
  <c r="T7" i="5" s="1"/>
  <c r="U6" i="5"/>
  <c r="U7" i="5" s="1"/>
  <c r="V6" i="5"/>
  <c r="V7" i="5" s="1"/>
  <c r="W6" i="5"/>
  <c r="W7" i="5" s="1"/>
  <c r="X6" i="5"/>
  <c r="X7" i="5" s="1"/>
  <c r="Y6" i="5"/>
  <c r="Y7" i="5" s="1"/>
  <c r="Z6" i="5"/>
  <c r="Z7" i="5" s="1"/>
  <c r="AA6" i="5"/>
  <c r="AA7" i="5" s="1"/>
  <c r="AB6" i="5"/>
  <c r="AB7" i="5" s="1"/>
  <c r="AC6" i="5"/>
  <c r="AC7" i="5" s="1"/>
  <c r="AD6" i="5"/>
  <c r="AD7" i="5" s="1"/>
  <c r="AE6" i="5"/>
  <c r="AE7" i="5" s="1"/>
  <c r="AF6" i="5"/>
  <c r="AF7" i="5" s="1"/>
  <c r="AG6" i="5"/>
  <c r="AG7" i="5" s="1"/>
  <c r="C6" i="5"/>
  <c r="C7" i="5" s="1"/>
  <c r="C4" i="5"/>
  <c r="AJ2" i="5" l="1" a="1"/>
  <c r="AJ2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<sst xmlns="http://schemas.openxmlformats.org/spreadsheetml/2006/main" count="273" uniqueCount="247">
  <si>
    <t>Calle 71 No. 38 - 107  Barrio Delicias - tel : 605 3225344</t>
  </si>
  <si>
    <t xml:space="preserve">OBSERVACIONES: </t>
  </si>
  <si>
    <t>EVENTUALES</t>
  </si>
  <si>
    <t>RELEVO</t>
  </si>
  <si>
    <t>X</t>
  </si>
  <si>
    <t>Q</t>
  </si>
  <si>
    <t>C</t>
  </si>
  <si>
    <t>D</t>
  </si>
  <si>
    <t>V</t>
  </si>
  <si>
    <t>CEDULA</t>
  </si>
  <si>
    <t>NOMINA</t>
  </si>
  <si>
    <t>MAYO</t>
  </si>
  <si>
    <t>PERIODO</t>
  </si>
  <si>
    <t xml:space="preserve">CENTRO DE TRABAJO:     </t>
  </si>
  <si>
    <t>Version: 3</t>
  </si>
  <si>
    <t>Codigo: GS02.01.F02</t>
  </si>
  <si>
    <t>PROGRAMACION DE TURNOS</t>
  </si>
  <si>
    <t>PARÁMETROS — NóminaMaestra (fuente única de verdad)</t>
  </si>
  <si>
    <t>Los valores que liquidan la nómina son los que manda la app; esta hoja los refleja para alertas de captura y documentación.</t>
  </si>
  <si>
    <t>PARÁMETRO</t>
  </si>
  <si>
    <t>VALOR</t>
  </si>
  <si>
    <t>SIGNIFICADO</t>
  </si>
  <si>
    <t>MaxHorasSemana</t>
  </si>
  <si>
    <t>Jornada máx. semanal (bajar a 42 cuando aplique)</t>
  </si>
  <si>
    <t>MaxDiasQuincena</t>
  </si>
  <si>
    <t>Tope de días por quincena (alerta de captura)</t>
  </si>
  <si>
    <t>MaxJornalesCentro</t>
  </si>
  <si>
    <t>Tope de jornales pagables del contrato</t>
  </si>
  <si>
    <t>MaxRecargoNocturno</t>
  </si>
  <si>
    <t>Tope de horas de recargo nocturno del periodo</t>
  </si>
  <si>
    <t>FactorDominicalComp</t>
  </si>
  <si>
    <t>Factor HFC (dominical compensado)</t>
  </si>
  <si>
    <t>FactorDominicalNoComp</t>
  </si>
  <si>
    <t>Factor HFNC (dominical no compensado)</t>
  </si>
  <si>
    <t>PasoExtra</t>
  </si>
  <si>
    <t>Escalón de horas extra que ofrece la lista</t>
  </si>
  <si>
    <t>MaxExtra</t>
  </si>
  <si>
    <t>Máximo de horas extra que ofrece la lista</t>
  </si>
  <si>
    <t>Contrasena</t>
  </si>
  <si>
    <t>NominaMaestra2026</t>
  </si>
  <si>
    <t>Clave de protección de hoja y libro (documentada)</t>
  </si>
  <si>
    <t>MESES</t>
  </si>
  <si>
    <t>ENERO</t>
  </si>
  <si>
    <t>FEBRERO</t>
  </si>
  <si>
    <t>MARZO</t>
  </si>
  <si>
    <t>ABRIL</t>
  </si>
  <si>
    <t>JUNIO</t>
  </si>
  <si>
    <t>JULIO</t>
  </si>
  <si>
    <t>AGOSTO</t>
  </si>
  <si>
    <t>SEPTIEMBRE</t>
  </si>
  <si>
    <t>OCTUBRE</t>
  </si>
  <si>
    <t>NOVIEMBRE</t>
  </si>
  <si>
    <t>DICIEMBRE</t>
  </si>
  <si>
    <t>CÓDIGO</t>
  </si>
  <si>
    <t>6:00 – 14:20</t>
  </si>
  <si>
    <t>XE</t>
  </si>
  <si>
    <t>8:00 – 16:20</t>
  </si>
  <si>
    <t>11:30 – 19:00</t>
  </si>
  <si>
    <t>R</t>
  </si>
  <si>
    <t>14:00 – 21:20</t>
  </si>
  <si>
    <t>RR</t>
  </si>
  <si>
    <t>14:00 – 20:30</t>
  </si>
  <si>
    <t>A</t>
  </si>
  <si>
    <t>22:00 – 5:40 (nocturno)</t>
  </si>
  <si>
    <t>A12</t>
  </si>
  <si>
    <t>18:00 – 6:00</t>
  </si>
  <si>
    <t>X12</t>
  </si>
  <si>
    <t>6:00 – 18:00</t>
  </si>
  <si>
    <t>PP</t>
  </si>
  <si>
    <t>Partido 6–10 y 13–16:20</t>
  </si>
  <si>
    <t>MTX</t>
  </si>
  <si>
    <t>7:00 – 11:00 (sin almuerzo)</t>
  </si>
  <si>
    <t>Compensatorio</t>
  </si>
  <si>
    <t>I</t>
  </si>
  <si>
    <t>Incapacidad (valor 0)</t>
  </si>
  <si>
    <t>Vacaciones (valor 0)</t>
  </si>
  <si>
    <t>LM</t>
  </si>
  <si>
    <t>Licencia de maternidad (valor 0)</t>
  </si>
  <si>
    <t>LP</t>
  </si>
  <si>
    <t>Licencia de paternidad (valor 0)</t>
  </si>
  <si>
    <t>LT</t>
  </si>
  <si>
    <t>Luto (valor 0)</t>
  </si>
  <si>
    <t>PNR</t>
  </si>
  <si>
    <t>Permiso no remunerado (valor 0)</t>
  </si>
  <si>
    <t>NP</t>
  </si>
  <si>
    <t>Ausencia injustificada (valor 0)</t>
  </si>
  <si>
    <t>CAL</t>
  </si>
  <si>
    <t>Calamidad (valor 0)</t>
  </si>
  <si>
    <t>DF</t>
  </si>
  <si>
    <t>Día de la familia (valor 0)</t>
  </si>
  <si>
    <t>JUR</t>
  </si>
  <si>
    <t>Jurado de votación (día normal)</t>
  </si>
  <si>
    <t>LISTA DESPLEGABLE (base + extras)</t>
  </si>
  <si>
    <t>/</t>
  </si>
  <si>
    <t>FECHA</t>
  </si>
  <si>
    <t>FESTIVO</t>
  </si>
  <si>
    <t>LEYENDA DE CÓDIGOS — Formato GS02.01.F02 v3 (diccionario establecido)</t>
  </si>
  <si>
    <t>AÑOS</t>
  </si>
  <si>
    <t>SUPERVISOR:</t>
  </si>
  <si>
    <t>NOMBRE COMPLETO</t>
  </si>
  <si>
    <t>NUMERO DE DOCUMENTO</t>
  </si>
  <si>
    <t>TIPO DOCUMENTO</t>
  </si>
  <si>
    <t>CENTRO ASIGNADO</t>
  </si>
  <si>
    <t>SUPERVISOR ASIGNADO</t>
  </si>
  <si>
    <t>Hoja de control: los supervisores NO la ven. E:F se llenan con la macro ActualizarRelaciones.</t>
  </si>
  <si>
    <t>SP</t>
  </si>
  <si>
    <t>COMP</t>
  </si>
  <si>
    <t>Compensatorio por votación (pideron medio o día completo libre)</t>
  </si>
  <si>
    <t>Descanso (valor 0)</t>
  </si>
  <si>
    <t>Suspensión (valor 0)</t>
  </si>
  <si>
    <t>Yenny Libreros - Bogota</t>
  </si>
  <si>
    <t>Fabian Martinez - Cartagena</t>
  </si>
  <si>
    <t>CENTROS DE COSTO (lista general — ya no está amarrada a un supervisor)</t>
  </si>
  <si>
    <t>CENTRO DE COSTO</t>
  </si>
  <si>
    <t>Supervisores (lista manual)</t>
  </si>
  <si>
    <t>Hayler Guardiola - Barranquilla</t>
  </si>
  <si>
    <t>Gikly Calvo - Barranquilla</t>
  </si>
  <si>
    <t>Osvaldo Salcedo - Barranquilla</t>
  </si>
  <si>
    <t>Harold Torres - Barranquilla</t>
  </si>
  <si>
    <t>Jair Rodriguez (Supervisor temporal encargado olimpica) - Barranquilla</t>
  </si>
  <si>
    <t>Mauricio Andica - Cali</t>
  </si>
  <si>
    <r>
      <t xml:space="preserve">NOVEDADES (en su mayoría valor 0, se liquidan aparte):  </t>
    </r>
    <r>
      <rPr>
        <sz val="10"/>
        <color rgb="FFFF0000"/>
        <rFont val="Calibri"/>
        <family val="2"/>
        <scheme val="minor"/>
      </rPr>
      <t>I</t>
    </r>
    <r>
      <rPr>
        <sz val="10"/>
        <color rgb="FF000000"/>
        <rFont val="Calibri"/>
        <family val="2"/>
        <scheme val="minor"/>
      </rPr>
      <t xml:space="preserve"> incapacidad · </t>
    </r>
    <r>
      <rPr>
        <sz val="10"/>
        <color rgb="FFFF0000"/>
        <rFont val="Calibri"/>
        <family val="2"/>
        <scheme val="minor"/>
      </rPr>
      <t>V</t>
    </r>
    <r>
      <rPr>
        <sz val="10"/>
        <color rgb="FF000000"/>
        <rFont val="Calibri"/>
        <family val="2"/>
        <scheme val="minor"/>
      </rPr>
      <t xml:space="preserve"> vacaciones · </t>
    </r>
    <r>
      <rPr>
        <sz val="10"/>
        <color rgb="FFFF0000"/>
        <rFont val="Calibri"/>
        <family val="2"/>
        <scheme val="minor"/>
      </rPr>
      <t>LM</t>
    </r>
    <r>
      <rPr>
        <sz val="10"/>
        <color rgb="FF000000"/>
        <rFont val="Calibri"/>
        <family val="2"/>
        <scheme val="minor"/>
      </rPr>
      <t xml:space="preserve"> lic. maternidad · </t>
    </r>
    <r>
      <rPr>
        <sz val="10"/>
        <color rgb="FFFF0000"/>
        <rFont val="Calibri"/>
        <family val="2"/>
        <scheme val="minor"/>
      </rPr>
      <t>LP</t>
    </r>
    <r>
      <rPr>
        <sz val="10"/>
        <color rgb="FF000000"/>
        <rFont val="Calibri"/>
        <family val="2"/>
        <scheme val="minor"/>
      </rPr>
      <t xml:space="preserve"> lic. paternidad · </t>
    </r>
    <r>
      <rPr>
        <sz val="10"/>
        <color rgb="FFFF0000"/>
        <rFont val="Calibri"/>
        <family val="2"/>
        <scheme val="minor"/>
      </rPr>
      <t>LT</t>
    </r>
    <r>
      <rPr>
        <sz val="10"/>
        <color rgb="FF000000"/>
        <rFont val="Calibri"/>
        <family val="2"/>
        <scheme val="minor"/>
      </rPr>
      <t xml:space="preserve"> luto · </t>
    </r>
    <r>
      <rPr>
        <sz val="10"/>
        <color rgb="FFFF0000"/>
        <rFont val="Calibri"/>
        <family val="2"/>
        <scheme val="minor"/>
      </rPr>
      <t>PNR</t>
    </r>
    <r>
      <rPr>
        <sz val="10"/>
        <color rgb="FF000000"/>
        <rFont val="Calibri"/>
        <family val="2"/>
        <scheme val="minor"/>
      </rPr>
      <t xml:space="preserve"> permiso no remunerado · </t>
    </r>
    <r>
      <rPr>
        <sz val="10"/>
        <color rgb="FFFF0000"/>
        <rFont val="Calibri"/>
        <family val="2"/>
        <scheme val="minor"/>
      </rPr>
      <t>NP</t>
    </r>
    <r>
      <rPr>
        <sz val="10"/>
        <color rgb="FF000000"/>
        <rFont val="Calibri"/>
        <family val="2"/>
        <scheme val="minor"/>
      </rPr>
      <t xml:space="preserve"> ausencia injustificada · </t>
    </r>
    <r>
      <rPr>
        <sz val="10"/>
        <color rgb="FFFF0000"/>
        <rFont val="Calibri"/>
        <family val="2"/>
        <scheme val="minor"/>
      </rPr>
      <t>CAL</t>
    </r>
    <r>
      <rPr>
        <sz val="10"/>
        <color rgb="FF000000"/>
        <rFont val="Calibri"/>
        <family val="2"/>
        <scheme val="minor"/>
      </rPr>
      <t xml:space="preserve"> calamidad · </t>
    </r>
    <r>
      <rPr>
        <sz val="10"/>
        <color rgb="FFFF0000"/>
        <rFont val="Calibri"/>
        <family val="2"/>
        <scheme val="minor"/>
      </rPr>
      <t>DF</t>
    </r>
    <r>
      <rPr>
        <sz val="10"/>
        <color rgb="FF000000"/>
        <rFont val="Calibri"/>
        <family val="2"/>
        <scheme val="minor"/>
      </rPr>
      <t xml:space="preserve"> día de la familia ·</t>
    </r>
    <r>
      <rPr>
        <sz val="10"/>
        <color rgb="FFFF0000"/>
        <rFont val="Calibri"/>
        <family val="2"/>
        <scheme val="minor"/>
      </rPr>
      <t xml:space="preserve"> JUR</t>
    </r>
    <r>
      <rPr>
        <sz val="10"/>
        <color rgb="FF000000"/>
        <rFont val="Calibri"/>
        <family val="2"/>
        <scheme val="minor"/>
      </rPr>
      <t xml:space="preserve"> jurado (se paga día normal) ·  </t>
    </r>
    <r>
      <rPr>
        <sz val="10"/>
        <color rgb="FFFF0000"/>
        <rFont val="Calibri"/>
        <family val="2"/>
        <scheme val="minor"/>
      </rPr>
      <t>SP</t>
    </r>
    <r>
      <rPr>
        <sz val="10"/>
        <color rgb="FF000000"/>
        <rFont val="Calibri"/>
        <family val="2"/>
        <scheme val="minor"/>
      </rPr>
      <t xml:space="preserve"> Suspención · </t>
    </r>
    <r>
      <rPr>
        <sz val="10"/>
        <color rgb="FFFF0000"/>
        <rFont val="Calibri"/>
        <family val="2"/>
        <scheme val="minor"/>
      </rPr>
      <t>COMP</t>
    </r>
    <r>
      <rPr>
        <sz val="10"/>
        <color rgb="FF000000"/>
        <rFont val="Calibri"/>
        <family val="2"/>
        <scheme val="minor"/>
      </rPr>
      <t xml:space="preserve"> Compensatorio por votación</t>
    </r>
  </si>
  <si>
    <r>
      <t xml:space="preserve">TURNOS:  </t>
    </r>
    <r>
      <rPr>
        <sz val="10"/>
        <color rgb="FFFF0000"/>
        <rFont val="Calibri"/>
        <family val="2"/>
        <scheme val="minor"/>
      </rPr>
      <t>X</t>
    </r>
    <r>
      <rPr>
        <sz val="10"/>
        <color rgb="FF000000"/>
        <rFont val="Calibri"/>
        <family val="2"/>
        <scheme val="minor"/>
      </rPr>
      <t xml:space="preserve"> 6:00–14:20  |  </t>
    </r>
    <r>
      <rPr>
        <sz val="10"/>
        <color rgb="FFFF0000"/>
        <rFont val="Calibri"/>
        <family val="2"/>
        <scheme val="minor"/>
      </rPr>
      <t>XE</t>
    </r>
    <r>
      <rPr>
        <sz val="10"/>
        <color rgb="FF000000"/>
        <rFont val="Calibri"/>
        <family val="2"/>
        <scheme val="minor"/>
      </rPr>
      <t xml:space="preserve"> 8:00–16:20  |  </t>
    </r>
    <r>
      <rPr>
        <sz val="10"/>
        <color rgb="FFFF0000"/>
        <rFont val="Calibri"/>
        <family val="2"/>
        <scheme val="minor"/>
      </rPr>
      <t>Q</t>
    </r>
    <r>
      <rPr>
        <sz val="10"/>
        <color rgb="FF000000"/>
        <rFont val="Calibri"/>
        <family val="2"/>
        <scheme val="minor"/>
      </rPr>
      <t xml:space="preserve"> 11:30–19:00  |  </t>
    </r>
    <r>
      <rPr>
        <sz val="10"/>
        <color rgb="FFFF0000"/>
        <rFont val="Calibri"/>
        <family val="2"/>
        <scheme val="minor"/>
      </rPr>
      <t>R</t>
    </r>
    <r>
      <rPr>
        <sz val="10"/>
        <color rgb="FF000000"/>
        <rFont val="Calibri"/>
        <family val="2"/>
        <scheme val="minor"/>
      </rPr>
      <t xml:space="preserve"> 14:00–21:20  |  </t>
    </r>
    <r>
      <rPr>
        <sz val="10"/>
        <color rgb="FFFF0000"/>
        <rFont val="Calibri"/>
        <family val="2"/>
        <scheme val="minor"/>
      </rPr>
      <t>RR</t>
    </r>
    <r>
      <rPr>
        <sz val="10"/>
        <color rgb="FF000000"/>
        <rFont val="Calibri"/>
        <family val="2"/>
        <scheme val="minor"/>
      </rPr>
      <t xml:space="preserve"> 14:00–20:30  |  </t>
    </r>
    <r>
      <rPr>
        <sz val="10"/>
        <color rgb="FFFF0000"/>
        <rFont val="Calibri"/>
        <family val="2"/>
        <scheme val="minor"/>
      </rPr>
      <t>A</t>
    </r>
    <r>
      <rPr>
        <sz val="10"/>
        <color rgb="FF000000"/>
        <rFont val="Calibri"/>
        <family val="2"/>
        <scheme val="minor"/>
      </rPr>
      <t xml:space="preserve"> 22:00–5:40  |  </t>
    </r>
    <r>
      <rPr>
        <sz val="10"/>
        <color rgb="FFFF0000"/>
        <rFont val="Calibri"/>
        <family val="2"/>
        <scheme val="minor"/>
      </rPr>
      <t>A12</t>
    </r>
    <r>
      <rPr>
        <sz val="10"/>
        <color rgb="FF000000"/>
        <rFont val="Calibri"/>
        <family val="2"/>
        <scheme val="minor"/>
      </rPr>
      <t xml:space="preserve"> 18:00–6:00  |  </t>
    </r>
    <r>
      <rPr>
        <sz val="10"/>
        <color rgb="FFFF0000"/>
        <rFont val="Calibri"/>
        <family val="2"/>
        <scheme val="minor"/>
      </rPr>
      <t>X12</t>
    </r>
    <r>
      <rPr>
        <sz val="10"/>
        <color rgb="FF000000"/>
        <rFont val="Calibri"/>
        <family val="2"/>
        <scheme val="minor"/>
      </rPr>
      <t xml:space="preserve"> 6:00–18:00  |  </t>
    </r>
    <r>
      <rPr>
        <sz val="10"/>
        <color rgb="FFFF0000"/>
        <rFont val="Calibri"/>
        <family val="2"/>
        <scheme val="minor"/>
      </rPr>
      <t>PP</t>
    </r>
    <r>
      <rPr>
        <sz val="10"/>
        <color rgb="FF000000"/>
        <rFont val="Calibri"/>
        <family val="2"/>
        <scheme val="minor"/>
      </rPr>
      <t xml:space="preserve"> partido 6–10 y 13–16:20  |  </t>
    </r>
    <r>
      <rPr>
        <sz val="10"/>
        <color rgb="FFFF0000"/>
        <rFont val="Calibri"/>
        <family val="2"/>
        <scheme val="minor"/>
      </rPr>
      <t>MTX</t>
    </r>
    <r>
      <rPr>
        <sz val="10"/>
        <color rgb="FF000000"/>
        <rFont val="Calibri"/>
        <family val="2"/>
        <scheme val="minor"/>
      </rPr>
      <t xml:space="preserve"> 7:00–11:00 (sin almuerzo)</t>
    </r>
  </si>
  <si>
    <r>
      <t xml:space="preserve"> DESCANSO </t>
    </r>
    <r>
      <rPr>
        <sz val="10"/>
        <color rgb="FFFF0000"/>
        <rFont val="Calibri"/>
        <family val="2"/>
        <scheme val="minor"/>
      </rPr>
      <t>D</t>
    </r>
    <r>
      <rPr>
        <sz val="10"/>
        <color rgb="FF000000"/>
        <rFont val="Calibri"/>
        <family val="2"/>
        <scheme val="minor"/>
      </rPr>
      <t xml:space="preserve"> = descanso |  COMPENSATORIO:  </t>
    </r>
    <r>
      <rPr>
        <sz val="10"/>
        <color rgb="FFFF0000"/>
        <rFont val="Calibri"/>
        <family val="2"/>
        <scheme val="minor"/>
      </rPr>
      <t>C</t>
    </r>
    <r>
      <rPr>
        <sz val="10"/>
        <color rgb="FF000000"/>
        <rFont val="Calibri"/>
        <family val="2"/>
        <scheme val="minor"/>
      </rPr>
      <t xml:space="preserve"> = compensatorio</t>
    </r>
  </si>
  <si>
    <t>X+0,5</t>
  </si>
  <si>
    <t>X+1</t>
  </si>
  <si>
    <t>X+1,5</t>
  </si>
  <si>
    <t>X+2</t>
  </si>
  <si>
    <t>X+2,5</t>
  </si>
  <si>
    <t>X+3</t>
  </si>
  <si>
    <t>X+3,5</t>
  </si>
  <si>
    <t>X+4</t>
  </si>
  <si>
    <t>X+4,5</t>
  </si>
  <si>
    <t>X+5</t>
  </si>
  <si>
    <t>X+5,5</t>
  </si>
  <si>
    <t>X+6</t>
  </si>
  <si>
    <t>XE+0,5</t>
  </si>
  <si>
    <t>XE+1</t>
  </si>
  <si>
    <t>XE+1,5</t>
  </si>
  <si>
    <t>XE+2</t>
  </si>
  <si>
    <t>XE+2,5</t>
  </si>
  <si>
    <t>XE+3</t>
  </si>
  <si>
    <t>XE+3,5</t>
  </si>
  <si>
    <t>XE+4</t>
  </si>
  <si>
    <t>XE+4,5</t>
  </si>
  <si>
    <t>XE+5</t>
  </si>
  <si>
    <t>XE+5,5</t>
  </si>
  <si>
    <t>XE+6</t>
  </si>
  <si>
    <t>Q+0,5</t>
  </si>
  <si>
    <t>Q+1</t>
  </si>
  <si>
    <t>Q+1,5</t>
  </si>
  <si>
    <t>Q+2</t>
  </si>
  <si>
    <t>Q+2,5</t>
  </si>
  <si>
    <t>Q+3</t>
  </si>
  <si>
    <t>Q+3,5</t>
  </si>
  <si>
    <t>Q+4</t>
  </si>
  <si>
    <t>Q+4,5</t>
  </si>
  <si>
    <t>Q+5</t>
  </si>
  <si>
    <t>Q+5,5</t>
  </si>
  <si>
    <t>Q+6</t>
  </si>
  <si>
    <t>R+0,5</t>
  </si>
  <si>
    <t>R+1</t>
  </si>
  <si>
    <t>R+1,5</t>
  </si>
  <si>
    <t>R+2</t>
  </si>
  <si>
    <t>R+2,5</t>
  </si>
  <si>
    <t>R+3</t>
  </si>
  <si>
    <t>R+3,5</t>
  </si>
  <si>
    <t>R+4</t>
  </si>
  <si>
    <t>R+4,5</t>
  </si>
  <si>
    <t>R+5</t>
  </si>
  <si>
    <t>R+5,5</t>
  </si>
  <si>
    <t>R+6</t>
  </si>
  <si>
    <t>RR+0,5</t>
  </si>
  <si>
    <t>RR+1</t>
  </si>
  <si>
    <t>RR+1,5</t>
  </si>
  <si>
    <t>RR+2</t>
  </si>
  <si>
    <t>RR+2,5</t>
  </si>
  <si>
    <t>RR+3</t>
  </si>
  <si>
    <t>RR+3,5</t>
  </si>
  <si>
    <t>RR+4</t>
  </si>
  <si>
    <t>RR+4,5</t>
  </si>
  <si>
    <t>RR+5</t>
  </si>
  <si>
    <t>RR+5,5</t>
  </si>
  <si>
    <t>RR+6</t>
  </si>
  <si>
    <t>A+0,5</t>
  </si>
  <si>
    <t>A+1</t>
  </si>
  <si>
    <t>A+1,5</t>
  </si>
  <si>
    <t>A+2</t>
  </si>
  <si>
    <t>A+2,5</t>
  </si>
  <si>
    <t>A+3</t>
  </si>
  <si>
    <t>A+3,5</t>
  </si>
  <si>
    <t>A+4</t>
  </si>
  <si>
    <t>A+4,5</t>
  </si>
  <si>
    <t>A+5</t>
  </si>
  <si>
    <t>A+5,5</t>
  </si>
  <si>
    <t>A+6</t>
  </si>
  <si>
    <t>A12+0,5</t>
  </si>
  <si>
    <t>A12+1</t>
  </si>
  <si>
    <t>A12+1,5</t>
  </si>
  <si>
    <t>A12+2</t>
  </si>
  <si>
    <t>A12+2,5</t>
  </si>
  <si>
    <t>A12+3</t>
  </si>
  <si>
    <t>A12+3,5</t>
  </si>
  <si>
    <t>A12+4</t>
  </si>
  <si>
    <t>A12+4,5</t>
  </si>
  <si>
    <t>A12+5</t>
  </si>
  <si>
    <t>A12+5,5</t>
  </si>
  <si>
    <t>A12+6</t>
  </si>
  <si>
    <t>X12+0,5</t>
  </si>
  <si>
    <t>X12+1</t>
  </si>
  <si>
    <t>X12+1,5</t>
  </si>
  <si>
    <t>X12+2</t>
  </si>
  <si>
    <t>X12+2,5</t>
  </si>
  <si>
    <t>X12+3</t>
  </si>
  <si>
    <t>X12+3,5</t>
  </si>
  <si>
    <t>X12+4</t>
  </si>
  <si>
    <t>X12+4,5</t>
  </si>
  <si>
    <t>X12+5</t>
  </si>
  <si>
    <t>X12+5,5</t>
  </si>
  <si>
    <t>X12+6</t>
  </si>
  <si>
    <t>PP+0,5</t>
  </si>
  <si>
    <t>PP+1</t>
  </si>
  <si>
    <t>PP+1,5</t>
  </si>
  <si>
    <t>PP+2</t>
  </si>
  <si>
    <t>PP+2,5</t>
  </si>
  <si>
    <t>PP+3</t>
  </si>
  <si>
    <t>PP+3,5</t>
  </si>
  <si>
    <t>PP+4</t>
  </si>
  <si>
    <t>PP+4,5</t>
  </si>
  <si>
    <t>PP+5</t>
  </si>
  <si>
    <t>PP+5,5</t>
  </si>
  <si>
    <t>PP+6</t>
  </si>
  <si>
    <t>MTX+0,5</t>
  </si>
  <si>
    <t>MTX+1</t>
  </si>
  <si>
    <t>MTX+1,5</t>
  </si>
  <si>
    <t>MTX+2</t>
  </si>
  <si>
    <t>MTX+2,5</t>
  </si>
  <si>
    <t>MTX+3</t>
  </si>
  <si>
    <t>MTX+3,5</t>
  </si>
  <si>
    <t>MTX+4</t>
  </si>
  <si>
    <t>MTX+4,5</t>
  </si>
  <si>
    <t>MTX+5</t>
  </si>
  <si>
    <t>MTX+5,5</t>
  </si>
  <si>
    <t>MTX+6</t>
  </si>
  <si>
    <r>
      <t xml:space="preserve">HORAS EXTRA: </t>
    </r>
    <r>
      <rPr>
        <sz val="10"/>
        <color rgb="FFFF0000"/>
        <rFont val="Calibri"/>
        <family val="2"/>
        <scheme val="minor"/>
      </rPr>
      <t>VARIABLE+N</t>
    </r>
    <r>
      <rPr>
        <sz val="10"/>
        <color rgb="FF000000"/>
        <rFont val="Calibri"/>
        <family val="2"/>
        <scheme val="minor"/>
      </rPr>
      <t xml:space="preserve"> ó use los números para extras en dominicales diurnos. </t>
    </r>
    <r>
      <rPr>
        <sz val="10"/>
        <color rgb="FFFF0000"/>
        <rFont val="Calibri"/>
        <family val="2"/>
        <scheme val="minor"/>
      </rPr>
      <t xml:space="preserve">MAXIMO 6hrs extras </t>
    </r>
    <r>
      <rPr>
        <sz val="10"/>
        <color rgb="FF000000"/>
        <rFont val="Calibri"/>
        <family val="2"/>
        <scheme val="minor"/>
      </rPr>
      <t xml:space="preserve">de lo contrario usar los códigos nocturno (ej. A, A12 ... ). </t>
    </r>
  </si>
  <si>
    <r>
      <rPr>
        <sz val="10"/>
        <color rgb="FFFF0000"/>
        <rFont val="Calibri"/>
        <family val="2"/>
        <scheme val="minor"/>
      </rPr>
      <t>Celda vacía</t>
    </r>
    <r>
      <rPr>
        <sz val="10"/>
        <color rgb="FF000000"/>
        <rFont val="Calibri"/>
        <family val="2"/>
        <scheme val="minor"/>
      </rPr>
      <t xml:space="preserve"> o «</t>
    </r>
    <r>
      <rPr>
        <sz val="10"/>
        <color rgb="FFFF0000"/>
        <rFont val="Calibri"/>
        <family val="2"/>
        <scheme val="minor"/>
      </rPr>
      <t>/</t>
    </r>
    <r>
      <rPr>
        <sz val="10"/>
        <color rgb="FF000000"/>
        <rFont val="Calibri"/>
        <family val="2"/>
        <scheme val="minor"/>
      </rPr>
      <t>» = no trabajó ese día.        Fondo amarillo = domingo o festivo (se pinta solo según el periodo).</t>
    </r>
  </si>
  <si>
    <t>Lorena Jimenez - Oficina Administrativa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</si>
</sst>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ptos Light"/>
      <family val="2"/>
    </font>
    <font>
      <sz val="12"/>
      <color theme="1"/>
      <name val="Aptos Light"/>
      <family val="2"/>
    </font>
    <font>
      <b/>
      <i/>
      <sz val="10"/>
      <name val="Aptos Light"/>
      <family val="2"/>
    </font>
    <font>
      <b/>
      <sz val="12"/>
      <name val="Aptos Light"/>
      <family val="2"/>
    </font>
    <font>
      <b/>
      <sz val="12"/>
      <color rgb="FF000000"/>
      <name val="Aptos Display"/>
      <family val="2"/>
    </font>
    <font>
      <sz val="12"/>
      <color indexed="8"/>
      <name val="Aptos Light"/>
      <family val="2"/>
    </font>
    <font>
      <b/>
      <sz val="12"/>
      <color theme="0"/>
      <name val="Aptos Light"/>
      <family val="2"/>
    </font>
    <font>
      <b/>
      <sz val="12"/>
      <name val="Arial"/>
      <family val="2"/>
    </font>
    <font>
      <sz val="10"/>
      <name val="Arial"/>
      <family val="2"/>
    </font>
    <font>
      <b/>
      <sz val="12"/>
      <color theme="1"/>
      <name val="Aptos Display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sz val="14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theme="5" tint="-0.249977111117893"/>
        <bgColor indexed="26"/>
      </patternFill>
    </fill>
    <fill>
      <patternFill patternType="solid">
        <fgColor theme="3" tint="0.79992065187536243"/>
        <bgColor indexed="26"/>
      </patternFill>
    </fill>
    <fill>
      <patternFill patternType="solid">
        <fgColor theme="5" tint="0.59999389629810485"/>
        <bgColor indexed="56"/>
      </patternFill>
    </fill>
    <fill>
      <patternFill patternType="solid">
        <fgColor theme="5" tint="0.59999389629810485"/>
        <bgColor indexed="26"/>
      </patternFill>
    </fill>
    <fill>
      <patternFill patternType="solid">
        <fgColor rgb="FFDDEBF7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1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5">
    <xf numFmtId="0" fontId="0" fillId="0" borderId="0"/>
    <xf numFmtId="0" fontId="1" fillId="0" borderId="0"/>
    <xf numFmtId="0" fontId="10" fillId="0" borderId="0"/>
    <xf numFmtId="0" fontId="20" fillId="12" borderId="0" applyNumberFormat="0" applyBorder="0" applyAlignment="0" applyProtection="0"/>
    <xf numFmtId="0" fontId="21" fillId="13" borderId="0" applyNumberFormat="0" applyBorder="0" applyAlignment="0" applyProtection="0"/>
  </cellStyleXfs>
  <cellXfs count="97">
    <xf numFmtId="0" fontId="0" fillId="0" borderId="0" xfId="0"/>
    <xf numFmtId="0" fontId="2" fillId="0" borderId="0" xfId="1" applyFont="1"/>
    <xf numFmtId="0" fontId="3" fillId="0" borderId="0" xfId="1" applyFont="1"/>
    <xf numFmtId="0" fontId="13" fillId="0" borderId="0" xfId="0" applyFont="1"/>
    <xf numFmtId="0" fontId="14" fillId="0" borderId="0" xfId="0" applyFont="1"/>
    <xf numFmtId="0" fontId="12" fillId="8" borderId="0" xfId="0" applyFont="1" applyFill="1"/>
    <xf numFmtId="0" fontId="15" fillId="0" borderId="0" xfId="0" applyFont="1"/>
    <xf numFmtId="164" fontId="0" fillId="0" borderId="0" xfId="0" applyNumberFormat="1"/>
    <xf numFmtId="1" fontId="0" fillId="0" borderId="0" xfId="0" applyNumberFormat="1"/>
    <xf numFmtId="0" fontId="16" fillId="9" borderId="0" xfId="0" applyFont="1" applyFill="1"/>
    <xf numFmtId="0" fontId="12" fillId="8" borderId="0" xfId="0" applyFont="1" applyFill="1" applyAlignment="1">
      <alignment horizontal="center"/>
    </xf>
    <xf numFmtId="0" fontId="12" fillId="11" borderId="0" xfId="0" applyFont="1" applyFill="1"/>
    <xf numFmtId="0" fontId="0" fillId="0" borderId="20" xfId="0" applyBorder="1"/>
    <xf numFmtId="0" fontId="0" fillId="0" borderId="20" xfId="0" applyFont="1" applyBorder="1"/>
    <xf numFmtId="0" fontId="2" fillId="0" borderId="0" xfId="1" applyFont="1" applyProtection="1"/>
    <xf numFmtId="0" fontId="5" fillId="0" borderId="4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right" vertical="center"/>
    </xf>
    <xf numFmtId="0" fontId="5" fillId="0" borderId="1" xfId="1" applyFont="1" applyBorder="1" applyAlignment="1" applyProtection="1">
      <alignment horizontal="center" vertical="center"/>
    </xf>
    <xf numFmtId="0" fontId="11" fillId="10" borderId="4" xfId="2" applyFont="1" applyFill="1" applyBorder="1" applyAlignment="1" applyProtection="1">
      <alignment horizontal="center" vertical="center"/>
    </xf>
    <xf numFmtId="0" fontId="5" fillId="5" borderId="14" xfId="1" applyFont="1" applyFill="1" applyBorder="1" applyAlignment="1" applyProtection="1">
      <alignment horizontal="center" vertical="center"/>
    </xf>
    <xf numFmtId="0" fontId="3" fillId="0" borderId="0" xfId="1" applyFont="1" applyProtection="1"/>
    <xf numFmtId="0" fontId="5" fillId="3" borderId="4" xfId="1" applyFont="1" applyFill="1" applyBorder="1" applyAlignment="1" applyProtection="1">
      <alignment horizontal="center" vertical="center"/>
      <protection locked="0"/>
    </xf>
    <xf numFmtId="0" fontId="6" fillId="10" borderId="13" xfId="1" applyFont="1" applyFill="1" applyBorder="1" applyAlignment="1" applyProtection="1">
      <alignment horizontal="center"/>
      <protection locked="0"/>
    </xf>
    <xf numFmtId="0" fontId="9" fillId="3" borderId="4" xfId="1" applyFont="1" applyFill="1" applyBorder="1" applyAlignment="1" applyProtection="1">
      <alignment horizontal="center" vertical="center"/>
      <protection locked="0"/>
    </xf>
    <xf numFmtId="0" fontId="5" fillId="3" borderId="4" xfId="1" applyFont="1" applyFill="1" applyBorder="1" applyAlignment="1" applyProtection="1">
      <alignment horizontal="center" vertical="center" wrapText="1"/>
      <protection locked="0"/>
    </xf>
    <xf numFmtId="0" fontId="5" fillId="10" borderId="4" xfId="1" applyFont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0" fillId="0" borderId="0" xfId="0" applyFill="1"/>
    <xf numFmtId="0" fontId="0" fillId="0" borderId="4" xfId="0" applyBorder="1" applyAlignment="1">
      <alignment horizontal="center"/>
    </xf>
    <xf numFmtId="0" fontId="16" fillId="9" borderId="4" xfId="0" applyFont="1" applyFill="1" applyBorder="1" applyAlignment="1">
      <alignment horizontal="center"/>
    </xf>
    <xf numFmtId="0" fontId="16" fillId="9" borderId="8" xfId="0" applyFont="1" applyFill="1" applyBorder="1" applyAlignment="1">
      <alignment horizontal="center"/>
    </xf>
    <xf numFmtId="0" fontId="18" fillId="9" borderId="0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3" borderId="1" xfId="1" applyFont="1" applyFill="1" applyBorder="1" applyAlignment="1" applyProtection="1">
      <alignment horizontal="center" vertical="center"/>
      <protection locked="0"/>
    </xf>
    <xf numFmtId="0" fontId="21" fillId="13" borderId="0" xfId="4"/>
    <xf numFmtId="0" fontId="20" fillId="12" borderId="0" xfId="3"/>
    <xf numFmtId="0" fontId="1" fillId="0" borderId="0" xfId="1"/>
    <xf numFmtId="0" fontId="0" fillId="0" borderId="0" xfId="0" applyAlignment="1">
      <alignment wrapText="1"/>
    </xf>
    <xf numFmtId="0" fontId="1" fillId="0" borderId="0" xfId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1" fillId="13" borderId="0" xfId="4" applyAlignment="1">
      <alignment horizontal="left" vertical="center"/>
    </xf>
    <xf numFmtId="0" fontId="0" fillId="0" borderId="0" xfId="0" applyBorder="1"/>
    <xf numFmtId="0" fontId="23" fillId="0" borderId="16" xfId="0" applyFont="1" applyFill="1" applyBorder="1" applyAlignment="1">
      <alignment horizontal="center"/>
    </xf>
    <xf numFmtId="0" fontId="23" fillId="0" borderId="4" xfId="0" applyFont="1" applyFill="1" applyBorder="1" applyAlignment="1">
      <alignment horizontal="center"/>
    </xf>
    <xf numFmtId="22" fontId="0" fillId="0" borderId="0" xfId="0" applyNumberFormat="1"/>
    <xf numFmtId="0" fontId="0" fillId="0" borderId="10" xfId="0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2" xfId="1" applyFont="1" applyBorder="1" applyAlignment="1" applyProtection="1">
      <alignment horizontal="center" vertical="center"/>
      <protection locked="0"/>
    </xf>
    <xf numFmtId="0" fontId="5" fillId="0" borderId="2" xfId="1" applyFont="1" applyBorder="1" applyAlignment="1" applyProtection="1">
      <alignment horizontal="center" vertical="center"/>
    </xf>
    <xf numFmtId="0" fontId="5" fillId="0" borderId="1" xfId="1" applyFont="1" applyBorder="1" applyAlignment="1" applyProtection="1">
      <alignment horizontal="center" vertical="center"/>
    </xf>
    <xf numFmtId="0" fontId="0" fillId="0" borderId="12" xfId="0" applyBorder="1" applyProtection="1"/>
    <xf numFmtId="0" fontId="0" fillId="0" borderId="11" xfId="0" applyBorder="1" applyProtection="1"/>
    <xf numFmtId="0" fontId="0" fillId="0" borderId="9" xfId="0" applyBorder="1" applyProtection="1"/>
    <xf numFmtId="0" fontId="0" fillId="0" borderId="0" xfId="0" applyProtection="1"/>
    <xf numFmtId="0" fontId="0" fillId="0" borderId="7" xfId="0" applyBorder="1" applyProtection="1"/>
    <xf numFmtId="0" fontId="0" fillId="0" borderId="6" xfId="0" applyBorder="1" applyProtection="1"/>
    <xf numFmtId="0" fontId="5" fillId="0" borderId="11" xfId="1" applyFont="1" applyBorder="1" applyAlignment="1" applyProtection="1">
      <alignment horizontal="center" vertical="center"/>
    </xf>
    <xf numFmtId="0" fontId="5" fillId="0" borderId="10" xfId="1" applyFont="1" applyBorder="1" applyAlignment="1" applyProtection="1">
      <alignment horizontal="center" vertical="center"/>
    </xf>
    <xf numFmtId="0" fontId="5" fillId="0" borderId="0" xfId="1" applyFont="1" applyAlignment="1" applyProtection="1">
      <alignment horizontal="center" vertical="center"/>
    </xf>
    <xf numFmtId="0" fontId="5" fillId="0" borderId="8" xfId="1" applyFont="1" applyBorder="1" applyAlignment="1" applyProtection="1">
      <alignment horizontal="center" vertical="center"/>
    </xf>
    <xf numFmtId="0" fontId="5" fillId="0" borderId="6" xfId="1" applyFont="1" applyBorder="1" applyAlignment="1" applyProtection="1">
      <alignment horizontal="center" vertical="center"/>
    </xf>
    <xf numFmtId="0" fontId="7" fillId="0" borderId="5" xfId="1" applyFont="1" applyBorder="1" applyAlignment="1" applyProtection="1">
      <alignment horizontal="center"/>
    </xf>
    <xf numFmtId="0" fontId="7" fillId="0" borderId="15" xfId="1" applyFont="1" applyBorder="1" applyAlignment="1" applyProtection="1">
      <alignment horizontal="center"/>
    </xf>
    <xf numFmtId="0" fontId="4" fillId="0" borderId="3" xfId="1" applyFont="1" applyBorder="1" applyAlignment="1" applyProtection="1">
      <alignment horizontal="center"/>
    </xf>
    <xf numFmtId="0" fontId="4" fillId="0" borderId="2" xfId="1" applyFont="1" applyBorder="1" applyAlignment="1" applyProtection="1">
      <alignment horizontal="center"/>
    </xf>
    <xf numFmtId="0" fontId="4" fillId="0" borderId="1" xfId="1" applyFont="1" applyBorder="1" applyAlignment="1" applyProtection="1">
      <alignment horizontal="center"/>
    </xf>
    <xf numFmtId="0" fontId="0" fillId="0" borderId="3" xfId="0" applyBorder="1" applyProtection="1">
      <protection locked="0"/>
    </xf>
    <xf numFmtId="0" fontId="0" fillId="0" borderId="2" xfId="0" applyBorder="1" applyProtection="1">
      <protection locked="0"/>
    </xf>
    <xf numFmtId="0" fontId="0" fillId="10" borderId="2" xfId="0" applyFill="1" applyBorder="1" applyAlignment="1" applyProtection="1">
      <alignment horizontal="center"/>
      <protection locked="0"/>
    </xf>
    <xf numFmtId="0" fontId="0" fillId="10" borderId="2" xfId="0" applyFill="1" applyBorder="1" applyProtection="1">
      <protection locked="0"/>
    </xf>
    <xf numFmtId="0" fontId="16" fillId="9" borderId="18" xfId="0" applyFont="1" applyFill="1" applyBorder="1" applyAlignment="1" applyProtection="1">
      <alignment horizontal="center"/>
    </xf>
    <xf numFmtId="0" fontId="16" fillId="9" borderId="17" xfId="0" applyFont="1" applyFill="1" applyBorder="1" applyAlignment="1" applyProtection="1">
      <alignment horizontal="center"/>
    </xf>
    <xf numFmtId="0" fontId="16" fillId="9" borderId="19" xfId="0" applyFont="1" applyFill="1" applyBorder="1" applyAlignment="1" applyProtection="1">
      <alignment horizontal="center"/>
    </xf>
    <xf numFmtId="0" fontId="17" fillId="8" borderId="18" xfId="0" applyFont="1" applyFill="1" applyBorder="1" applyAlignment="1" applyProtection="1">
      <alignment horizontal="left" vertical="center" wrapText="1"/>
    </xf>
    <xf numFmtId="0" fontId="17" fillId="8" borderId="17" xfId="0" applyFont="1" applyFill="1" applyBorder="1" applyAlignment="1" applyProtection="1">
      <alignment horizontal="left" vertical="center" wrapText="1"/>
    </xf>
    <xf numFmtId="0" fontId="17" fillId="8" borderId="19" xfId="0" applyFont="1" applyFill="1" applyBorder="1" applyAlignment="1" applyProtection="1">
      <alignment horizontal="left" vertical="center" wrapText="1"/>
    </xf>
    <xf numFmtId="0" fontId="5" fillId="7" borderId="16" xfId="1" applyFont="1" applyFill="1" applyBorder="1" applyAlignment="1" applyProtection="1">
      <alignment horizontal="center" vertical="center"/>
    </xf>
    <xf numFmtId="0" fontId="5" fillId="7" borderId="15" xfId="1" applyFont="1" applyFill="1" applyBorder="1" applyAlignment="1" applyProtection="1">
      <alignment horizontal="center" vertical="center"/>
    </xf>
    <xf numFmtId="0" fontId="5" fillId="6" borderId="4" xfId="1" applyFont="1" applyFill="1" applyBorder="1" applyAlignment="1" applyProtection="1">
      <alignment horizontal="center" vertical="center"/>
    </xf>
    <xf numFmtId="0" fontId="5" fillId="5" borderId="5" xfId="1" applyFont="1" applyFill="1" applyBorder="1" applyAlignment="1" applyProtection="1">
      <alignment horizontal="center" vertical="center"/>
    </xf>
    <xf numFmtId="0" fontId="5" fillId="10" borderId="4" xfId="1" applyFont="1" applyFill="1" applyBorder="1" applyAlignment="1" applyProtection="1">
      <alignment horizontal="center" vertical="center"/>
    </xf>
    <xf numFmtId="0" fontId="8" fillId="4" borderId="7" xfId="1" applyFont="1" applyFill="1" applyBorder="1" applyAlignment="1" applyProtection="1">
      <alignment horizontal="center" vertical="center"/>
    </xf>
    <xf numFmtId="0" fontId="8" fillId="4" borderId="2" xfId="1" applyFont="1" applyFill="1" applyBorder="1" applyAlignment="1" applyProtection="1">
      <alignment horizontal="center" vertical="center"/>
    </xf>
    <xf numFmtId="0" fontId="8" fillId="10" borderId="2" xfId="1" applyFont="1" applyFill="1" applyBorder="1" applyAlignment="1" applyProtection="1">
      <alignment horizontal="center" vertical="center"/>
    </xf>
    <xf numFmtId="0" fontId="8" fillId="10" borderId="11" xfId="1" applyFont="1" applyFill="1" applyBorder="1" applyAlignment="1" applyProtection="1">
      <alignment horizontal="center" vertical="center"/>
    </xf>
    <xf numFmtId="0" fontId="8" fillId="10" borderId="1" xfId="1" applyFont="1" applyFill="1" applyBorder="1" applyAlignment="1" applyProtection="1">
      <alignment horizontal="center" vertical="center"/>
    </xf>
    <xf numFmtId="0" fontId="5" fillId="2" borderId="12" xfId="1" applyFont="1" applyFill="1" applyBorder="1" applyAlignment="1" applyProtection="1">
      <alignment horizontal="center" vertical="center" wrapText="1"/>
    </xf>
    <xf numFmtId="0" fontId="5" fillId="2" borderId="9" xfId="1" applyFont="1" applyFill="1" applyBorder="1" applyAlignment="1" applyProtection="1">
      <alignment horizontal="center" vertical="center" wrapText="1"/>
    </xf>
    <xf numFmtId="0" fontId="5" fillId="2" borderId="11" xfId="1" applyFont="1" applyFill="1" applyBorder="1" applyAlignment="1" applyProtection="1">
      <alignment horizontal="center" vertical="center" wrapText="1"/>
      <protection locked="0"/>
    </xf>
    <xf numFmtId="0" fontId="5" fillId="2" borderId="11" xfId="1" applyFont="1" applyFill="1" applyBorder="1" applyAlignment="1" applyProtection="1">
      <alignment horizontal="center" vertical="center" wrapText="1"/>
    </xf>
    <xf numFmtId="0" fontId="5" fillId="2" borderId="10" xfId="1" applyFont="1" applyFill="1" applyBorder="1" applyAlignment="1" applyProtection="1">
      <alignment horizontal="center" vertical="center" wrapText="1"/>
    </xf>
    <xf numFmtId="0" fontId="5" fillId="2" borderId="0" xfId="1" applyFont="1" applyFill="1" applyBorder="1" applyAlignment="1" applyProtection="1">
      <alignment horizontal="center" vertical="center" wrapText="1"/>
    </xf>
    <xf numFmtId="0" fontId="5" fillId="2" borderId="8" xfId="1" applyFont="1" applyFill="1" applyBorder="1" applyAlignment="1" applyProtection="1">
      <alignment horizontal="center" vertical="center" wrapText="1"/>
    </xf>
    <xf numFmtId="0" fontId="5" fillId="0" borderId="3" xfId="1" applyFont="1" applyBorder="1" applyAlignment="1" applyProtection="1">
      <alignment horizontal="center" vertical="center"/>
    </xf>
  </cellXfs>
  <cellStyles count="5">
    <cellStyle name="Bueno" xfId="3" builtinId="26"/>
    <cellStyle name="Neutral" xfId="4" builtinId="28"/>
    <cellStyle name="Normal" xfId="0" builtinId="0"/>
    <cellStyle name="Normal 2" xfId="1" xr:uid="{F3465AB2-5E76-4D91-9E2C-09360551E6BD}"/>
    <cellStyle name="Normal 6" xfId="2" xr:uid="{531DF3AF-3C27-428E-9E16-8F7B74874BA7}"/>
  </cellStyles>
  <dxfs count="9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1F4E7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00"/>
        </patternFill>
      </fill>
    </dxf>
    <dxf>
      <font>
        <color rgb="FF000000"/>
      </font>
      <fill>
        <patternFill patternType="solid">
          <fgColor indexed="64"/>
          <bgColor rgb="FFFFC000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1555091</xdr:colOff>
      <xdr:row>0</xdr:row>
      <xdr:rowOff>104776</xdr:rowOff>
    </xdr:from>
    <xdr:ext cx="1976913" cy="621506"/>
    <xdr:pic>
      <xdr:nvPicPr>
        <xdr:cNvPr id="2" name="Imagen 1">
          <a:extLst>
            <a:ext uri="{FF2B5EF4-FFF2-40B4-BE49-F238E27FC236}">
              <a16:creationId xmlns:a16="http://schemas.microsoft.com/office/drawing/2014/main" id="{A142AD23-6C64-4345-8D3E-31674B4FA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416" b="34620"/>
        <a:stretch>
          <a:fillRect/>
        </a:stretch>
      </xdr:blipFill>
      <xdr:spPr>
        <a:xfrm>
          <a:off x="1555091" y="104776"/>
          <a:ext cx="1976913" cy="62150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30</xdr:row>
          <xdr:rowOff>182880</xdr:rowOff>
        </xdr:from>
        <xdr:to>
          <xdr:col>2</xdr:col>
          <xdr:colOff>182880</xdr:colOff>
          <xdr:row>35</xdr:row>
          <xdr:rowOff>129540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0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Nuevo Centro de Trabajo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(Mismo Archivo)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335280</xdr:colOff>
          <xdr:row>30</xdr:row>
          <xdr:rowOff>182880</xdr:rowOff>
        </xdr:from>
        <xdr:to>
          <xdr:col>7</xdr:col>
          <xdr:colOff>502920</xdr:colOff>
          <xdr:row>35</xdr:row>
          <xdr:rowOff>129540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Otro Horario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(Otro Archivo)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30</xdr:row>
          <xdr:rowOff>182880</xdr:rowOff>
        </xdr:from>
        <xdr:to>
          <xdr:col>16</xdr:col>
          <xdr:colOff>266700</xdr:colOff>
          <xdr:row>35</xdr:row>
          <xdr:rowOff>129540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catálogos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(Base de Datos)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419100</xdr:colOff>
          <xdr:row>30</xdr:row>
          <xdr:rowOff>182880</xdr:rowOff>
        </xdr:from>
        <xdr:to>
          <xdr:col>22</xdr:col>
          <xdr:colOff>22860</xdr:colOff>
          <xdr:row>35</xdr:row>
          <xdr:rowOff>129540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Preparar envío a Nómina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(Otro Archivo)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871ECB-9207-4D9B-922D-871006CF0325}" name="TablaEmpleados" displayName="TablaEmpleados" ref="B1:F2" insertRow="1" totalsRowShown="0" headerRowDxfId="4" tableBorderDxfId="3">
  <autoFilter ref="B1:F2" xr:uid="{8B871ECB-9207-4D9B-922D-871006CF0325}"/>
  <tableColumns count="5">
    <tableColumn id="1" xr3:uid="{C41FA184-7527-4A2F-8C08-C28660AC0FE9}" name="TIPO DOCUMENTO" dataDxfId="2"/>
    <tableColumn id="2" xr3:uid="{ACCA3D47-F4B4-453B-80B6-69FCF41F7EDB}" name="NUMERO DE DOCUMENTO" dataDxfId="1"/>
    <tableColumn id="3" xr3:uid="{55CCB335-E44D-4DA9-9476-B8268BF33BBF}" name="NOMBRE COMPLETO" dataDxfId="0"/>
    <tableColumn id="4" xr3:uid="{756A6DD2-6650-413F-9497-A2E4601F5106}" name="CENTRO ASIGNADO"/>
    <tableColumn id="5" xr3:uid="{BB0E4BF7-9CC2-402F-BEB6-EA7B5D3F0206}" name="SUPERVISOR ASIGN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209528D-3C02-4AAF-BA28-41DF9CEB6A70}">
  <we:reference id="wa200010725" version="1.0.0.1" store="es-ES" storeType="OMEX"/>
  <we:alternateReferences>
    <we:reference id="WA200010725" version="1.0.0.1" store="WA200010725" storeType="OMEX"/>
  </we:alternateReferences>
  <we:properties>
    <we:property name="claude.fileId" value="&quot;82d3ae65-9959-4342-84a8-fe00b76edac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E4C0C-E2CD-4BC5-8D60-956B8A94EE8F}">
  <sheetPr codeName="Hoja1">
    <tabColor theme="6" tint="-0.249977111117893"/>
    <pageSetUpPr fitToPage="1"/>
  </sheetPr>
  <dimension ref="A1:AK45"/>
  <sheetViews>
    <sheetView tabSelected="1" view="pageBreakPreview" zoomScale="70" zoomScaleNormal="70" zoomScaleSheetLayoutView="70" workbookViewId="0">
      <pane xSplit="2" ySplit="7" topLeftCell="C29" activePane="bottomRight" state="frozen"/>
      <selection pane="topRight" activeCell="C1" sqref="C1"/>
      <selection pane="bottomLeft" activeCell="A8" sqref="A8"/>
      <selection pane="bottomRight" activeCell="A6" sqref="A6:A7"/>
    </sheetView>
  </sheetViews>
  <sheetFormatPr baseColWidth="10" defaultColWidth="9.109375" defaultRowHeight="15.6" outlineLevelCol="1" x14ac:dyDescent="0.3"/>
  <cols>
    <col min="1" max="1" width="25.77734375" style="1" customWidth="1"/>
    <col min="2" max="2" width="17.6640625" style="1" customWidth="1"/>
    <col min="3" max="33" width="8.21875" style="2" customWidth="1"/>
    <col min="34" max="34" width="9.109375" style="1"/>
    <col min="35" max="36" width="0" style="1" hidden="1" customWidth="1" outlineLevel="1"/>
    <col min="37" max="37" width="9.109375" style="1" collapsed="1"/>
    <col min="38" max="16384" width="9.109375" style="1"/>
  </cols>
  <sheetData>
    <row r="1" spans="1:36" ht="14.4" customHeight="1" x14ac:dyDescent="0.3">
      <c r="A1" s="53"/>
      <c r="B1" s="54"/>
      <c r="C1" s="59" t="s">
        <v>16</v>
      </c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60"/>
      <c r="AH1" s="14"/>
      <c r="AI1" s="14"/>
      <c r="AJ1" s="14"/>
    </row>
    <row r="2" spans="1:36" ht="14.4" customHeight="1" x14ac:dyDescent="0.3">
      <c r="A2" s="55"/>
      <c r="B2" s="56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2"/>
      <c r="AH2" s="14"/>
      <c r="AI2" s="14" t="str" cm="1">
        <f t="array" ref="AI2">IFERROR(_xlfn._xlws.SORT(_xlfn.UNIQUE(_xlfn._xlws.FILTER(MapCentro,MapCentro&lt;&gt;""))),"")</f>
        <v/>
      </c>
      <c r="AJ2" s="14" t="str" cm="1">
        <f t="array" ref="AJ2:AJ10">IFERROR(ListaSupervisores,"")</f>
        <v>Hayler Guardiola - Barranquilla</v>
      </c>
    </row>
    <row r="3" spans="1:36" ht="14.4" customHeight="1" x14ac:dyDescent="0.3">
      <c r="A3" s="55"/>
      <c r="B3" s="56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2"/>
      <c r="AH3" s="14"/>
      <c r="AI3" s="14"/>
      <c r="AJ3" s="14" t="str">
        <v>Gikly Calvo - Barranquilla</v>
      </c>
    </row>
    <row r="4" spans="1:36" x14ac:dyDescent="0.3">
      <c r="A4" s="57"/>
      <c r="B4" s="58"/>
      <c r="C4" s="63" t="str">
        <f>IFERROR("Fecha: "&amp;TEXT(DATE($AE$5,MATCH($W$5,Meses,0),1),"dd/mm/yyyy")&amp;" - "&amp;TEXT(EOMONTH(DATE($AE$5,MATCH($W$5,Meses,0),1),0),"dd/mm/yyyy"),"")</f>
        <v>Fecha: 01/07/2026 - 31/07/2026</v>
      </c>
      <c r="D4" s="63"/>
      <c r="E4" s="63"/>
      <c r="F4" s="63"/>
      <c r="G4" s="63"/>
      <c r="H4" s="63"/>
      <c r="I4" s="63"/>
      <c r="J4" s="63"/>
      <c r="K4" s="63"/>
      <c r="L4" s="63"/>
      <c r="M4" s="63"/>
      <c r="N4" s="63" t="s">
        <v>15</v>
      </c>
      <c r="O4" s="63"/>
      <c r="P4" s="63"/>
      <c r="Q4" s="63"/>
      <c r="R4" s="63"/>
      <c r="S4" s="63"/>
      <c r="T4" s="63"/>
      <c r="U4" s="63"/>
      <c r="V4" s="64" t="s">
        <v>14</v>
      </c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14"/>
      <c r="AI4" s="14"/>
      <c r="AJ4" s="14" t="str">
        <v>Osvaldo Salcedo - Barranquilla</v>
      </c>
    </row>
    <row r="5" spans="1:36" x14ac:dyDescent="0.3">
      <c r="A5" s="15" t="s">
        <v>13</v>
      </c>
      <c r="B5" s="69"/>
      <c r="C5" s="70"/>
      <c r="D5" s="70"/>
      <c r="E5" s="70"/>
      <c r="F5" s="70"/>
      <c r="G5" s="16"/>
      <c r="H5" s="17" t="s">
        <v>98</v>
      </c>
      <c r="I5" s="71"/>
      <c r="J5" s="72"/>
      <c r="K5" s="72"/>
      <c r="L5" s="72"/>
      <c r="M5" s="72"/>
      <c r="N5" s="72"/>
      <c r="O5" s="16"/>
      <c r="P5" s="18"/>
      <c r="Q5" s="96" t="s">
        <v>12</v>
      </c>
      <c r="R5" s="51"/>
      <c r="S5" s="51"/>
      <c r="T5" s="51"/>
      <c r="U5" s="51"/>
      <c r="V5" s="16"/>
      <c r="W5" s="50" t="s">
        <v>47</v>
      </c>
      <c r="X5" s="51"/>
      <c r="Y5" s="51"/>
      <c r="Z5" s="51"/>
      <c r="AA5" s="51"/>
      <c r="AB5" s="51"/>
      <c r="AC5" s="51"/>
      <c r="AD5" s="51"/>
      <c r="AE5" s="50">
        <v>2026</v>
      </c>
      <c r="AF5" s="51"/>
      <c r="AG5" s="52"/>
      <c r="AH5" s="14"/>
      <c r="AI5" s="14"/>
      <c r="AJ5" s="14" t="str">
        <v>Harold Torres - Barranquilla</v>
      </c>
    </row>
    <row r="6" spans="1:36" x14ac:dyDescent="0.3">
      <c r="A6" s="79" t="s">
        <v>10</v>
      </c>
      <c r="B6" s="81" t="s">
        <v>9</v>
      </c>
      <c r="C6" s="19">
        <f t="shared" ref="C6:AG6" si="0">IFERROR(IF(COLUMN()-2&lt;=DAY(EOMONTH(DATE($AE$5,MATCH($W$5,Meses,0),1),0)),COLUMN()-2,""),"")</f>
        <v>1</v>
      </c>
      <c r="D6" s="19">
        <f t="shared" si="0"/>
        <v>2</v>
      </c>
      <c r="E6" s="19">
        <f t="shared" si="0"/>
        <v>3</v>
      </c>
      <c r="F6" s="19">
        <f t="shared" si="0"/>
        <v>4</v>
      </c>
      <c r="G6" s="19">
        <f t="shared" si="0"/>
        <v>5</v>
      </c>
      <c r="H6" s="19">
        <f t="shared" si="0"/>
        <v>6</v>
      </c>
      <c r="I6" s="19">
        <f t="shared" si="0"/>
        <v>7</v>
      </c>
      <c r="J6" s="19">
        <f>IFERROR(IF(COLUMN()-2&lt;=DAY(EOMONTH(DATE($AE$5,MATCH($W$5,Meses,0),1),0)),COLUMN()-2,""),"")</f>
        <v>8</v>
      </c>
      <c r="K6" s="19">
        <f t="shared" si="0"/>
        <v>9</v>
      </c>
      <c r="L6" s="19">
        <f t="shared" si="0"/>
        <v>10</v>
      </c>
      <c r="M6" s="19">
        <f t="shared" si="0"/>
        <v>11</v>
      </c>
      <c r="N6" s="19">
        <f t="shared" si="0"/>
        <v>12</v>
      </c>
      <c r="O6" s="19">
        <f t="shared" si="0"/>
        <v>13</v>
      </c>
      <c r="P6" s="19">
        <f t="shared" si="0"/>
        <v>14</v>
      </c>
      <c r="Q6" s="19">
        <f t="shared" si="0"/>
        <v>15</v>
      </c>
      <c r="R6" s="19">
        <f t="shared" si="0"/>
        <v>16</v>
      </c>
      <c r="S6" s="19">
        <f t="shared" si="0"/>
        <v>17</v>
      </c>
      <c r="T6" s="19">
        <f t="shared" si="0"/>
        <v>18</v>
      </c>
      <c r="U6" s="19">
        <f t="shared" si="0"/>
        <v>19</v>
      </c>
      <c r="V6" s="19">
        <f t="shared" si="0"/>
        <v>20</v>
      </c>
      <c r="W6" s="19">
        <f t="shared" si="0"/>
        <v>21</v>
      </c>
      <c r="X6" s="19">
        <f t="shared" si="0"/>
        <v>22</v>
      </c>
      <c r="Y6" s="19">
        <f t="shared" si="0"/>
        <v>23</v>
      </c>
      <c r="Z6" s="19">
        <f t="shared" si="0"/>
        <v>24</v>
      </c>
      <c r="AA6" s="19">
        <f t="shared" si="0"/>
        <v>25</v>
      </c>
      <c r="AB6" s="19">
        <f t="shared" si="0"/>
        <v>26</v>
      </c>
      <c r="AC6" s="19">
        <f t="shared" si="0"/>
        <v>27</v>
      </c>
      <c r="AD6" s="19">
        <f t="shared" si="0"/>
        <v>28</v>
      </c>
      <c r="AE6" s="19">
        <f t="shared" si="0"/>
        <v>29</v>
      </c>
      <c r="AF6" s="19">
        <f t="shared" si="0"/>
        <v>30</v>
      </c>
      <c r="AG6" s="19">
        <f t="shared" si="0"/>
        <v>31</v>
      </c>
      <c r="AH6" s="14"/>
      <c r="AI6" s="14"/>
      <c r="AJ6" s="14" t="str">
        <v>Jair Rodriguez (Supervisor temporal encargado olimpica) - Barranquilla</v>
      </c>
    </row>
    <row r="7" spans="1:36" x14ac:dyDescent="0.3">
      <c r="A7" s="80"/>
      <c r="B7" s="81"/>
      <c r="C7" s="19" t="str">
        <f t="shared" ref="C7:AG7" si="1">IFERROR(IF(C$6="","",CHOOSE(WEEKDAY(DATE($AE$5,MATCH($W$5,Meses,0),C$6),2),"L","M","W","J","V","S","D")),"")</f>
        <v>W</v>
      </c>
      <c r="D7" s="19" t="str">
        <f t="shared" si="1"/>
        <v>J</v>
      </c>
      <c r="E7" s="19" t="str">
        <f t="shared" si="1"/>
        <v>V</v>
      </c>
      <c r="F7" s="19" t="str">
        <f t="shared" si="1"/>
        <v>S</v>
      </c>
      <c r="G7" s="19" t="str">
        <f>IFERROR(IF(G$6="","",CHOOSE(WEEKDAY(DATE($AE$5,MATCH($W$5,Meses,0),G$6),2),"L","M","W","J","V","S","D")),"")</f>
        <v>D</v>
      </c>
      <c r="H7" s="19" t="str">
        <f t="shared" si="1"/>
        <v>L</v>
      </c>
      <c r="I7" s="19" t="str">
        <f t="shared" si="1"/>
        <v>M</v>
      </c>
      <c r="J7" s="19" t="str">
        <f t="shared" si="1"/>
        <v>W</v>
      </c>
      <c r="K7" s="19" t="str">
        <f t="shared" si="1"/>
        <v>J</v>
      </c>
      <c r="L7" s="19" t="str">
        <f t="shared" si="1"/>
        <v>V</v>
      </c>
      <c r="M7" s="19" t="str">
        <f t="shared" si="1"/>
        <v>S</v>
      </c>
      <c r="N7" s="19" t="str">
        <f t="shared" si="1"/>
        <v>D</v>
      </c>
      <c r="O7" s="19" t="str">
        <f t="shared" si="1"/>
        <v>L</v>
      </c>
      <c r="P7" s="19" t="str">
        <f t="shared" si="1"/>
        <v>M</v>
      </c>
      <c r="Q7" s="19" t="str">
        <f t="shared" si="1"/>
        <v>W</v>
      </c>
      <c r="R7" s="19" t="str">
        <f t="shared" si="1"/>
        <v>J</v>
      </c>
      <c r="S7" s="19" t="str">
        <f t="shared" si="1"/>
        <v>V</v>
      </c>
      <c r="T7" s="19" t="str">
        <f t="shared" si="1"/>
        <v>S</v>
      </c>
      <c r="U7" s="19" t="str">
        <f t="shared" si="1"/>
        <v>D</v>
      </c>
      <c r="V7" s="19" t="str">
        <f t="shared" si="1"/>
        <v>L</v>
      </c>
      <c r="W7" s="19" t="str">
        <f t="shared" si="1"/>
        <v>M</v>
      </c>
      <c r="X7" s="19" t="str">
        <f t="shared" si="1"/>
        <v>W</v>
      </c>
      <c r="Y7" s="19" t="str">
        <f t="shared" si="1"/>
        <v>J</v>
      </c>
      <c r="Z7" s="19" t="str">
        <f t="shared" si="1"/>
        <v>V</v>
      </c>
      <c r="AA7" s="19" t="str">
        <f t="shared" si="1"/>
        <v>S</v>
      </c>
      <c r="AB7" s="19" t="str">
        <f t="shared" si="1"/>
        <v>D</v>
      </c>
      <c r="AC7" s="19" t="str">
        <f t="shared" si="1"/>
        <v>L</v>
      </c>
      <c r="AD7" s="19" t="str">
        <f t="shared" si="1"/>
        <v>M</v>
      </c>
      <c r="AE7" s="19" t="str">
        <f t="shared" si="1"/>
        <v>W</v>
      </c>
      <c r="AF7" s="19" t="str">
        <f t="shared" si="1"/>
        <v>J</v>
      </c>
      <c r="AG7" s="19" t="str">
        <f t="shared" si="1"/>
        <v>V</v>
      </c>
      <c r="AH7" s="14"/>
      <c r="AI7" s="14"/>
      <c r="AJ7" s="14" t="str">
        <v>Lorena Jimenez - Oficina Administrativa</v>
      </c>
    </row>
    <row r="8" spans="1:36" x14ac:dyDescent="0.3">
      <c r="A8" s="24"/>
      <c r="B8" s="35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14"/>
      <c r="AI8" s="14"/>
      <c r="AJ8" s="14" t="str">
        <v>Mauricio Andica - Cali</v>
      </c>
    </row>
    <row r="9" spans="1:36" x14ac:dyDescent="0.3">
      <c r="A9" s="24"/>
      <c r="B9" s="35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14"/>
      <c r="AI9" s="14"/>
      <c r="AJ9" s="14" t="str">
        <v>Yenny Libreros - Bogota</v>
      </c>
    </row>
    <row r="10" spans="1:36" x14ac:dyDescent="0.3">
      <c r="A10" s="24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14"/>
      <c r="AI10" s="14"/>
      <c r="AJ10" s="14" t="str">
        <v>Fabian Martinez - Cartagena</v>
      </c>
    </row>
    <row r="11" spans="1:36" x14ac:dyDescent="0.3">
      <c r="A11" s="24"/>
      <c r="B11" s="35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14"/>
      <c r="AI11" s="14"/>
      <c r="AJ11" s="14"/>
    </row>
    <row r="12" spans="1:36" x14ac:dyDescent="0.3">
      <c r="A12" s="24"/>
      <c r="B12" s="35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14"/>
      <c r="AI12" s="14"/>
      <c r="AJ12" s="14"/>
    </row>
    <row r="13" spans="1:36" x14ac:dyDescent="0.3">
      <c r="A13" s="24"/>
      <c r="B13" s="35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14"/>
      <c r="AI13" s="14"/>
      <c r="AJ13" s="14"/>
    </row>
    <row r="14" spans="1:36" x14ac:dyDescent="0.3">
      <c r="A14" s="24"/>
      <c r="B14" s="35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14"/>
      <c r="AI14" s="14"/>
      <c r="AJ14" s="14"/>
    </row>
    <row r="15" spans="1:36" x14ac:dyDescent="0.3">
      <c r="A15" s="24"/>
      <c r="B15" s="35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14"/>
      <c r="AI15" s="14"/>
      <c r="AJ15" s="14"/>
    </row>
    <row r="16" spans="1:36" x14ac:dyDescent="0.3">
      <c r="A16" s="24"/>
      <c r="B16" s="35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14"/>
      <c r="AI16" s="14"/>
      <c r="AJ16" s="14"/>
    </row>
    <row r="17" spans="1:36" x14ac:dyDescent="0.3">
      <c r="A17" s="24"/>
      <c r="B17" s="35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14"/>
      <c r="AI17" s="14"/>
      <c r="AJ17" s="14"/>
    </row>
    <row r="18" spans="1:36" x14ac:dyDescent="0.3">
      <c r="A18" s="20" t="s">
        <v>3</v>
      </c>
      <c r="B18" s="82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14"/>
      <c r="AI18" s="14"/>
      <c r="AJ18" s="14"/>
    </row>
    <row r="19" spans="1:36" x14ac:dyDescent="0.3">
      <c r="A19" s="84" t="s">
        <v>2</v>
      </c>
      <c r="B19" s="85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7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8"/>
      <c r="AH19" s="14"/>
      <c r="AI19" s="14"/>
      <c r="AJ19" s="14"/>
    </row>
    <row r="20" spans="1:36" x14ac:dyDescent="0.3">
      <c r="A20" s="25"/>
      <c r="B20" s="22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14"/>
      <c r="AI20" s="14"/>
      <c r="AJ20" s="14"/>
    </row>
    <row r="21" spans="1:36" x14ac:dyDescent="0.3">
      <c r="A21" s="25"/>
      <c r="B21" s="22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14"/>
      <c r="AI21" s="14"/>
      <c r="AJ21" s="14"/>
    </row>
    <row r="22" spans="1:36" ht="14.4" x14ac:dyDescent="0.3">
      <c r="A22" s="89" t="s">
        <v>1</v>
      </c>
      <c r="B22" s="91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3"/>
      <c r="AH22" s="14"/>
      <c r="AI22" s="14"/>
      <c r="AJ22" s="14"/>
    </row>
    <row r="23" spans="1:36" ht="14.4" x14ac:dyDescent="0.3">
      <c r="A23" s="90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5"/>
      <c r="AH23" s="14"/>
      <c r="AI23" s="14"/>
      <c r="AJ23" s="14"/>
    </row>
    <row r="24" spans="1:36" ht="14.4" x14ac:dyDescent="0.3">
      <c r="A24" s="73" t="s">
        <v>96</v>
      </c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5"/>
      <c r="AH24" s="14"/>
      <c r="AI24" s="14"/>
      <c r="AJ24" s="14"/>
    </row>
    <row r="25" spans="1:36" ht="28.05" customHeight="1" x14ac:dyDescent="0.3">
      <c r="A25" s="76" t="s">
        <v>122</v>
      </c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8"/>
      <c r="AH25" s="14"/>
      <c r="AI25" s="14"/>
      <c r="AJ25" s="14"/>
    </row>
    <row r="26" spans="1:36" ht="14.4" x14ac:dyDescent="0.3">
      <c r="A26" s="76" t="s">
        <v>123</v>
      </c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8"/>
      <c r="AH26" s="14"/>
      <c r="AI26" s="14"/>
      <c r="AJ26" s="14"/>
    </row>
    <row r="27" spans="1:36" ht="42" customHeight="1" x14ac:dyDescent="0.3">
      <c r="A27" s="76" t="s">
        <v>121</v>
      </c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8"/>
      <c r="AH27" s="14"/>
      <c r="AI27" s="14"/>
      <c r="AJ27" s="14"/>
    </row>
    <row r="28" spans="1:36" ht="14.4" x14ac:dyDescent="0.3">
      <c r="A28" s="76" t="s">
        <v>244</v>
      </c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8"/>
      <c r="AH28" s="14"/>
      <c r="AI28" s="14"/>
      <c r="AJ28" s="14"/>
    </row>
    <row r="29" spans="1:36" ht="14.4" x14ac:dyDescent="0.3">
      <c r="A29" s="76" t="s">
        <v>245</v>
      </c>
      <c r="B29" s="77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8"/>
      <c r="AH29" s="14"/>
      <c r="AI29" s="14"/>
      <c r="AJ29" s="14"/>
    </row>
    <row r="30" spans="1:36" ht="14.4" x14ac:dyDescent="0.3">
      <c r="A30" s="66" t="s">
        <v>0</v>
      </c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8"/>
      <c r="AH30" s="14"/>
      <c r="AI30" s="14"/>
      <c r="AJ30" s="14"/>
    </row>
    <row r="31" spans="1:36" x14ac:dyDescent="0.3">
      <c r="A31" s="14"/>
      <c r="B31" s="14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14"/>
      <c r="AI31" s="14"/>
      <c r="AJ31" s="14"/>
    </row>
    <row r="32" spans="1:36" x14ac:dyDescent="0.3">
      <c r="A32" s="14"/>
      <c r="B32" s="14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14"/>
      <c r="AI32" s="14"/>
      <c r="AJ32" s="14"/>
    </row>
    <row r="33" spans="1:36" x14ac:dyDescent="0.3">
      <c r="A33" s="14"/>
      <c r="B33" s="14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14"/>
      <c r="AI33" s="14"/>
      <c r="AJ33" s="14"/>
    </row>
    <row r="34" spans="1:36" x14ac:dyDescent="0.3">
      <c r="A34" s="14"/>
      <c r="B34" s="14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14"/>
      <c r="AI34" s="14"/>
      <c r="AJ34" s="14"/>
    </row>
    <row r="35" spans="1:36" x14ac:dyDescent="0.3">
      <c r="A35" s="14"/>
      <c r="B35" s="14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14"/>
      <c r="AI35" s="14"/>
      <c r="AJ35" s="14"/>
    </row>
    <row r="36" spans="1:36" x14ac:dyDescent="0.3">
      <c r="A36" s="14"/>
      <c r="B36" s="14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14"/>
      <c r="AI36" s="14"/>
      <c r="AJ36" s="14"/>
    </row>
    <row r="37" spans="1:36" x14ac:dyDescent="0.3">
      <c r="A37" s="14"/>
      <c r="B37" s="14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14"/>
      <c r="AI37" s="14"/>
      <c r="AJ37" s="14"/>
    </row>
    <row r="38" spans="1:36" x14ac:dyDescent="0.3">
      <c r="A38" s="14"/>
      <c r="B38" s="14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14"/>
      <c r="AI38" s="14"/>
      <c r="AJ38" s="14"/>
    </row>
    <row r="39" spans="1:36" x14ac:dyDescent="0.3">
      <c r="A39" s="14"/>
      <c r="B39" s="14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14"/>
      <c r="AI39" s="14"/>
      <c r="AJ39" s="14"/>
    </row>
    <row r="40" spans="1:36" x14ac:dyDescent="0.3">
      <c r="A40" s="14"/>
      <c r="B40" s="14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14"/>
      <c r="AI40" s="14"/>
      <c r="AJ40" s="14"/>
    </row>
    <row r="41" spans="1:36" x14ac:dyDescent="0.3">
      <c r="A41" s="14"/>
      <c r="B41" s="14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14"/>
      <c r="AI41" s="14"/>
      <c r="AJ41" s="14"/>
    </row>
    <row r="42" spans="1:36" x14ac:dyDescent="0.3">
      <c r="A42" s="14"/>
      <c r="B42" s="14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14"/>
      <c r="AI42" s="14"/>
      <c r="AJ42" s="14"/>
    </row>
    <row r="43" spans="1:36" x14ac:dyDescent="0.3">
      <c r="A43" s="14"/>
      <c r="B43" s="14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14"/>
      <c r="AI43" s="14"/>
      <c r="AJ43" s="14"/>
    </row>
    <row r="44" spans="1:36" x14ac:dyDescent="0.3">
      <c r="A44" s="14"/>
      <c r="B44" s="14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14"/>
      <c r="AI44" s="14"/>
      <c r="AJ44" s="14"/>
    </row>
    <row r="45" spans="1:36" x14ac:dyDescent="0.3">
      <c r="A45" s="14"/>
      <c r="B45" s="14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14"/>
      <c r="AI45" s="14"/>
      <c r="AJ45" s="14"/>
    </row>
  </sheetData>
  <sheetProtection algorithmName="SHA-512" hashValue="lL9yl2S3IXNTB3oHlURc0Df4tZ6xgRY2oqgk/s+M8Xa84xsY64lUL9GMX+PW1QfOckcXi5WQ364aJ4PQMS1h4g==" saltValue="yURR/dER04PiqzZhkd83VA==" spinCount="100000" sheet="1" objects="1" scenarios="1" formatCells="0" formatColumns="0" formatRows="0"/>
  <mergeCells count="23">
    <mergeCell ref="A30:AG30"/>
    <mergeCell ref="B5:F5"/>
    <mergeCell ref="I5:N5"/>
    <mergeCell ref="A24:AG24"/>
    <mergeCell ref="A25:AG25"/>
    <mergeCell ref="A26:AG26"/>
    <mergeCell ref="A27:AG27"/>
    <mergeCell ref="A28:AG28"/>
    <mergeCell ref="A29:AG29"/>
    <mergeCell ref="A6:A7"/>
    <mergeCell ref="B6:B7"/>
    <mergeCell ref="B18:AG18"/>
    <mergeCell ref="A19:AG19"/>
    <mergeCell ref="A22:A23"/>
    <mergeCell ref="B22:AG23"/>
    <mergeCell ref="Q5:U5"/>
    <mergeCell ref="W5:AD5"/>
    <mergeCell ref="AE5:AG5"/>
    <mergeCell ref="A1:B4"/>
    <mergeCell ref="C1:AG3"/>
    <mergeCell ref="C4:M4"/>
    <mergeCell ref="N4:U4"/>
    <mergeCell ref="V4:AG4"/>
  </mergeCells>
  <conditionalFormatting sqref="A8:AG17">
    <cfRule type="expression" dxfId="8" priority="1" stopIfTrue="1">
      <formula>AND(COUNTA($C8:$AG8)&gt;0,OR($A8="",$B8=""))</formula>
    </cfRule>
  </conditionalFormatting>
  <conditionalFormatting sqref="A20:AG21">
    <cfRule type="expression" dxfId="7" priority="2" stopIfTrue="1">
      <formula>AND(COUNTA($C20:$AG20)&gt;0,OR($A20="",$B20=""))</formula>
    </cfRule>
  </conditionalFormatting>
  <conditionalFormatting sqref="C8:AG21">
    <cfRule type="expression" dxfId="6" priority="3" stopIfTrue="1">
      <formula>AND(C8&lt;&gt;"",C8&lt;&gt;"/",ISNA(MATCH(C8,CodigosLista,0)))</formula>
    </cfRule>
  </conditionalFormatting>
  <conditionalFormatting sqref="C6:AG21">
    <cfRule type="expression" dxfId="5" priority="4">
      <formula>AND(C$6&lt;&gt;"",OR(WEEKDAY(DATE($AE$5,MATCH($W$5,Meses,0),C$6),2)=7,COUNTIF(FestivosFechas,DATE($AE$5,MATCH($W$5,Meses,0),C$6))&gt;0))</formula>
    </cfRule>
  </conditionalFormatting>
  <dataValidations count="10"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 usa VARIABLE+N (ej. X+7,5). No escribas códigos nuevos." sqref="C18:AG19" xr:uid="{256641EE-02CF-4159-AAA8-D964E7731F2F}">
      <formula1>CodigosLista</formula1>
    </dataValidation>
    <dataValidation type="list" allowBlank="1" showInputMessage="1" showErrorMessage="1" errorTitle="Mes no válido" error="Elige un mes de la lista (ENERO…DICIEMBRE)." promptTitle="Mes del periodo" prompt="Elige el mes (ENERO…DICIEMBRE)." sqref="W5" xr:uid="{08431956-19AE-4107-AAA3-6E4A043A714D}">
      <formula1>Meses</formula1>
    </dataValidation>
    <dataValidation type="list" allowBlank="1" showInputMessage="1" showErrorMessage="1" errorTitle="Año no válido" error="Elige un año de la lista (2025–2028)." promptTitle="Año del periodo" prompt="Elige el año (2025–2028)." sqref="AE5" xr:uid="{8A8DB8A4-EF11-416B-9E15-69E554643DE3}">
      <formula1>Anios</formula1>
    </dataValidation>
    <dataValidation type="list" allowBlank="1" showInputMessage="1" showErrorMessage="1" errorTitle="Bloqueado" error="Ya hay un centro elegido. Borra el CENTRO (B5) para poder cambiar de supervisor." promptTitle="Supervisor" prompt="Elige el supervisor. Para CAMBIARLO, borra primero el centro en B5." sqref="I5" xr:uid="{24737F3D-8F49-4690-B432-776C9E28FBCB}">
      <formula1>_xlfn.ANCHORARRAY($AJ$2)</formula1>
    </dataValidation>
    <dataValidation type="list" allowBlank="1" showInputMessage="1" showErrorMessage="1" errorTitle="Bloqueado" error="Debes elegir un supervisor en I5 primero, o borrar el centro actual para cambiarlo." promptTitle="Centro de costo" prompt="Elige primero el SUPERVISOR (I5). Para CAMBIAR el centro, bórralo antes." sqref="B5" xr:uid="{1A71E254-0D89-400D-B930-414207354E38}">
      <formula1>_xlfn.ANCHORARRAY($AI$2)</formula1>
    </dataValidation>
    <dataValidation type="list" errorStyle="information" allowBlank="1" showInputMessage="1" promptTitle="Empleado" prompt="Elige el nombre de la lista y la CÉDULA se pone sola (o escribe la cédula y aparece el nombre). Si no está en la lista, escríbelo manualmente." sqref="A20:A21" xr:uid="{A8DBE590-930F-4694-862E-3FE4677DBB3B}">
      <formula1>EmpNombres</formula1>
    </dataValidation>
    <dataValidation type="list" allowBlank="1" showInputMessage="1" showErrorMessage="1" errorTitle="Empleado no registrado" error="El empleado que intento ingresar en el horario no esta registrado en la tabla de empleados oficial." promptTitle="Empleado" prompt="Elige el nombre de la lista y la CÉDULA se pone sola (o escribe la cédula y aparece el nombre). Si no está en la lista, escríbelo manualmente." sqref="A8:A17" xr:uid="{3789E0AE-BBC5-4028-B06D-CB2CEEDAB93F}">
      <formula1>EmpNombres</formula1>
    </dataValidation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: VARIABLE+N ó use los números diurnas dominicales. MAXIMO 6hrs extras de lo contrario usar los códigos nocturno (ej. A, A12 ... ). " sqref="C8:D17 C20:D21" xr:uid="{BFFCACFE-4E4E-4237-A456-FFE99821A7C5}">
      <formula1>CodigosLista</formula1>
    </dataValidation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: VARIABLE+N ó use los números para los extras en dominicales diurnos. MAXIMO 6hrs extras de lo contrario usar los códigos nocturno (ej. A, A12 ... ). " sqref="E8:AG17 E20:AG21" xr:uid="{E6AC195B-7FF1-447D-B0BB-B5F71BBA1A61}">
      <formula1>CodigosLista</formula1>
    </dataValidation>
    <dataValidation type="list" allowBlank="1" showInputMessage="1" showErrorMessage="1" sqref="B8:B21" xr:uid="{5E0A312C-4B8C-4B89-A32E-1A9F429DD712}">
      <formula1>EmpCedulas</formula1>
    </dataValidation>
  </dataValidations>
  <pageMargins left="0.7" right="0.7" top="0.75" bottom="0.75" header="0.3" footer="0.3"/>
  <pageSetup paperSize="9" scale="4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3" r:id="rId4" name="Button 37">
              <controlPr defaultSize="0" print="0" autoFill="0" autoPict="0" macro="[0]!NuevaHojaCentro">
                <anchor moveWithCells="1" sizeWithCells="1">
                  <from>
                    <xdr:col>0</xdr:col>
                    <xdr:colOff>160020</xdr:colOff>
                    <xdr:row>30</xdr:row>
                    <xdr:rowOff>182880</xdr:rowOff>
                  </from>
                  <to>
                    <xdr:col>2</xdr:col>
                    <xdr:colOff>182880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5" name="Button 38">
              <controlPr defaultSize="0" print="0" autoFill="0" autoPict="0" macro="[0]!NuevaPlantillaArchivo">
                <anchor moveWithCells="1" sizeWithCells="1">
                  <from>
                    <xdr:col>2</xdr:col>
                    <xdr:colOff>335280</xdr:colOff>
                    <xdr:row>30</xdr:row>
                    <xdr:rowOff>182880</xdr:rowOff>
                  </from>
                  <to>
                    <xdr:col>7</xdr:col>
                    <xdr:colOff>502920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6" name="Button 42">
              <controlPr defaultSize="0" print="0" autoFill="0" autoPict="0" macro="[0]!ActualizarCatalogosManual">
                <anchor moveWithCells="1" sizeWithCells="1">
                  <from>
                    <xdr:col>11</xdr:col>
                    <xdr:colOff>99060</xdr:colOff>
                    <xdr:row>30</xdr:row>
                    <xdr:rowOff>182880</xdr:rowOff>
                  </from>
                  <to>
                    <xdr:col>16</xdr:col>
                    <xdr:colOff>266700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7" name="Button 43">
              <controlPr defaultSize="0" print="0" autoFill="0" autoPict="0" macro="[0]!PrepararEnvioNomina">
                <anchor moveWithCells="1" sizeWithCells="1">
                  <from>
                    <xdr:col>16</xdr:col>
                    <xdr:colOff>419100</xdr:colOff>
                    <xdr:row>30</xdr:row>
                    <xdr:rowOff>182880</xdr:rowOff>
                  </from>
                  <to>
                    <xdr:col>22</xdr:col>
                    <xdr:colOff>22860</xdr:colOff>
                    <xdr:row>35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60862-3E47-46C4-9E71-6B1A739C5CE5}">
  <sheetPr codeName="Hoja6"/>
  <dimension ref="B1:H652"/>
  <sheetViews>
    <sheetView topLeftCell="A627" workbookViewId="0">
      <selection activeCell="F653" sqref="F653"/>
    </sheetView>
  </sheetViews>
  <sheetFormatPr baseColWidth="10" defaultRowHeight="14.4" x14ac:dyDescent="0.3"/>
  <cols>
    <col min="2" max="2" width="32" bestFit="1" customWidth="1"/>
    <col min="3" max="3" width="25.33203125" customWidth="1"/>
    <col min="4" max="4" width="40.44140625" bestFit="1" customWidth="1"/>
    <col min="5" max="6" width="27.77734375" customWidth="1"/>
  </cols>
  <sheetData>
    <row r="1" spans="2:8" x14ac:dyDescent="0.3">
      <c r="B1" s="33" t="s">
        <v>101</v>
      </c>
      <c r="C1" s="30" t="s">
        <v>100</v>
      </c>
      <c r="D1" s="30" t="s">
        <v>99</v>
      </c>
      <c r="E1" s="31" t="s">
        <v>102</v>
      </c>
      <c r="F1" s="31" t="s">
        <v>103</v>
      </c>
      <c r="H1" s="32" t="s">
        <v>104</v>
      </c>
    </row>
    <row r="2" spans="2:8" x14ac:dyDescent="0.3">
      <c r="B2" s="34"/>
      <c r="C2" s="29"/>
      <c r="D2" s="29"/>
    </row>
    <row r="3" spans="2:8" x14ac:dyDescent="0.3">
      <c r="B3" s="34"/>
      <c r="C3" s="29"/>
      <c r="D3" s="29"/>
    </row>
    <row r="4" spans="2:8" x14ac:dyDescent="0.3">
      <c r="B4" s="34"/>
      <c r="C4" s="29"/>
      <c r="D4" s="29"/>
    </row>
    <row r="5" spans="2:8" x14ac:dyDescent="0.3">
      <c r="B5" s="34"/>
      <c r="C5" s="29"/>
      <c r="D5" s="29"/>
    </row>
    <row r="6" spans="2:8" x14ac:dyDescent="0.3">
      <c r="B6" s="34"/>
      <c r="C6" s="29"/>
      <c r="D6" s="29"/>
    </row>
    <row r="7" spans="2:8" x14ac:dyDescent="0.3">
      <c r="B7" s="34"/>
      <c r="C7" s="29"/>
      <c r="D7" s="29"/>
    </row>
    <row r="8" spans="2:8" x14ac:dyDescent="0.3">
      <c r="B8" s="34"/>
      <c r="C8" s="29"/>
      <c r="D8" s="29"/>
    </row>
    <row r="9" spans="2:8" x14ac:dyDescent="0.3">
      <c r="B9" s="34"/>
      <c r="C9" s="29"/>
      <c r="D9" s="29"/>
    </row>
    <row r="10" spans="2:8" x14ac:dyDescent="0.3">
      <c r="B10" s="34"/>
      <c r="C10" s="29"/>
      <c r="D10" s="29"/>
    </row>
    <row r="11" spans="2:8" x14ac:dyDescent="0.3">
      <c r="B11" s="34"/>
      <c r="C11" s="29"/>
      <c r="D11" s="29"/>
    </row>
    <row r="12" spans="2:8" x14ac:dyDescent="0.3">
      <c r="B12" s="34"/>
      <c r="C12" s="29"/>
      <c r="D12" s="29"/>
    </row>
    <row r="13" spans="2:8" x14ac:dyDescent="0.3">
      <c r="B13" s="34"/>
      <c r="C13" s="29"/>
      <c r="D13" s="29"/>
    </row>
    <row r="14" spans="2:8" x14ac:dyDescent="0.3">
      <c r="B14" s="34"/>
      <c r="C14" s="29"/>
      <c r="D14" s="29"/>
    </row>
    <row r="15" spans="2:8" x14ac:dyDescent="0.3">
      <c r="B15" s="34"/>
      <c r="C15" s="29"/>
      <c r="D15" s="29"/>
    </row>
    <row r="16" spans="2:8" x14ac:dyDescent="0.3">
      <c r="B16" s="34"/>
      <c r="C16" s="29"/>
      <c r="D16" s="29"/>
    </row>
    <row r="17" spans="2:4" x14ac:dyDescent="0.3">
      <c r="B17" s="34"/>
      <c r="C17" s="29"/>
      <c r="D17" s="29"/>
    </row>
    <row r="18" spans="2:4" x14ac:dyDescent="0.3">
      <c r="B18" s="34"/>
      <c r="C18" s="29"/>
      <c r="D18" s="29"/>
    </row>
    <row r="19" spans="2:4" x14ac:dyDescent="0.3">
      <c r="B19" s="34"/>
      <c r="C19" s="29"/>
      <c r="D19" s="29"/>
    </row>
    <row r="20" spans="2:4" x14ac:dyDescent="0.3">
      <c r="B20" s="34"/>
      <c r="C20" s="29"/>
      <c r="D20" s="29"/>
    </row>
    <row r="21" spans="2:4" x14ac:dyDescent="0.3">
      <c r="B21" s="34"/>
      <c r="C21" s="29"/>
      <c r="D21" s="29"/>
    </row>
    <row r="22" spans="2:4" x14ac:dyDescent="0.3">
      <c r="B22" s="34"/>
      <c r="C22" s="29"/>
      <c r="D22" s="29"/>
    </row>
    <row r="23" spans="2:4" x14ac:dyDescent="0.3">
      <c r="B23" s="34"/>
      <c r="C23" s="29"/>
      <c r="D23" s="29"/>
    </row>
    <row r="24" spans="2:4" x14ac:dyDescent="0.3">
      <c r="B24" s="34"/>
      <c r="C24" s="29"/>
      <c r="D24" s="29"/>
    </row>
    <row r="25" spans="2:4" x14ac:dyDescent="0.3">
      <c r="B25" s="34"/>
      <c r="C25" s="29"/>
      <c r="D25" s="29"/>
    </row>
    <row r="26" spans="2:4" x14ac:dyDescent="0.3">
      <c r="B26" s="34"/>
      <c r="C26" s="29"/>
      <c r="D26" s="29"/>
    </row>
    <row r="27" spans="2:4" x14ac:dyDescent="0.3">
      <c r="B27" s="34"/>
      <c r="C27" s="29"/>
      <c r="D27" s="29"/>
    </row>
    <row r="28" spans="2:4" x14ac:dyDescent="0.3">
      <c r="B28" s="34"/>
      <c r="C28" s="29"/>
      <c r="D28" s="29"/>
    </row>
    <row r="29" spans="2:4" x14ac:dyDescent="0.3">
      <c r="B29" s="34"/>
      <c r="C29" s="29"/>
      <c r="D29" s="29"/>
    </row>
    <row r="30" spans="2:4" x14ac:dyDescent="0.3">
      <c r="B30" s="34"/>
      <c r="C30" s="29"/>
      <c r="D30" s="29"/>
    </row>
    <row r="31" spans="2:4" x14ac:dyDescent="0.3">
      <c r="B31" s="34"/>
      <c r="C31" s="29"/>
      <c r="D31" s="29"/>
    </row>
    <row r="32" spans="2:4" x14ac:dyDescent="0.3">
      <c r="B32" s="34"/>
      <c r="C32" s="29"/>
      <c r="D32" s="29"/>
    </row>
    <row r="33" spans="2:4" x14ac:dyDescent="0.3">
      <c r="B33" s="34"/>
      <c r="C33" s="29"/>
      <c r="D33" s="29"/>
    </row>
    <row r="34" spans="2:4" x14ac:dyDescent="0.3">
      <c r="B34" s="34"/>
      <c r="C34" s="29"/>
      <c r="D34" s="29"/>
    </row>
    <row r="35" spans="2:4" x14ac:dyDescent="0.3">
      <c r="B35" s="34"/>
      <c r="C35" s="29"/>
      <c r="D35" s="29"/>
    </row>
    <row r="36" spans="2:4" x14ac:dyDescent="0.3">
      <c r="B36" s="34"/>
      <c r="C36" s="29"/>
      <c r="D36" s="29"/>
    </row>
    <row r="37" spans="2:4" x14ac:dyDescent="0.3">
      <c r="B37" s="34"/>
      <c r="C37" s="29"/>
      <c r="D37" s="29"/>
    </row>
    <row r="38" spans="2:4" x14ac:dyDescent="0.3">
      <c r="B38" s="34"/>
      <c r="C38" s="29"/>
      <c r="D38" s="29"/>
    </row>
    <row r="39" spans="2:4" x14ac:dyDescent="0.3">
      <c r="B39" s="34"/>
      <c r="C39" s="29"/>
      <c r="D39" s="29"/>
    </row>
    <row r="40" spans="2:4" x14ac:dyDescent="0.3">
      <c r="B40" s="34"/>
      <c r="C40" s="29"/>
      <c r="D40" s="29"/>
    </row>
    <row r="41" spans="2:4" x14ac:dyDescent="0.3">
      <c r="B41" s="34"/>
      <c r="C41" s="29"/>
      <c r="D41" s="29"/>
    </row>
    <row r="42" spans="2:4" x14ac:dyDescent="0.3">
      <c r="B42" s="34"/>
      <c r="C42" s="29"/>
      <c r="D42" s="29"/>
    </row>
    <row r="43" spans="2:4" x14ac:dyDescent="0.3">
      <c r="B43" s="34"/>
      <c r="C43" s="29"/>
      <c r="D43" s="29"/>
    </row>
    <row r="44" spans="2:4" x14ac:dyDescent="0.3">
      <c r="B44" s="34"/>
      <c r="C44" s="29"/>
      <c r="D44" s="29"/>
    </row>
    <row r="45" spans="2:4" x14ac:dyDescent="0.3">
      <c r="B45" s="34"/>
      <c r="C45" s="29"/>
      <c r="D45" s="29"/>
    </row>
    <row r="46" spans="2:4" x14ac:dyDescent="0.3">
      <c r="B46" s="34"/>
      <c r="C46" s="29"/>
      <c r="D46" s="29"/>
    </row>
    <row r="47" spans="2:4" x14ac:dyDescent="0.3">
      <c r="B47" s="34"/>
      <c r="C47" s="29"/>
      <c r="D47" s="29"/>
    </row>
    <row r="48" spans="2:4" x14ac:dyDescent="0.3">
      <c r="B48" s="34"/>
      <c r="C48" s="29"/>
      <c r="D48" s="29"/>
    </row>
    <row r="49" spans="2:4" x14ac:dyDescent="0.3">
      <c r="B49" s="34"/>
      <c r="C49" s="29"/>
      <c r="D49" s="29"/>
    </row>
    <row r="50" spans="2:4" x14ac:dyDescent="0.3">
      <c r="B50" s="34"/>
      <c r="C50" s="29"/>
      <c r="D50" s="29"/>
    </row>
    <row r="51" spans="2:4" x14ac:dyDescent="0.3">
      <c r="B51" s="34"/>
      <c r="C51" s="29"/>
      <c r="D51" s="29"/>
    </row>
    <row r="52" spans="2:4" x14ac:dyDescent="0.3">
      <c r="B52" s="34"/>
      <c r="C52" s="29"/>
      <c r="D52" s="29"/>
    </row>
    <row r="53" spans="2:4" x14ac:dyDescent="0.3">
      <c r="B53" s="34"/>
      <c r="C53" s="29"/>
      <c r="D53" s="29"/>
    </row>
    <row r="54" spans="2:4" x14ac:dyDescent="0.3">
      <c r="B54" s="34"/>
      <c r="C54" s="29"/>
      <c r="D54" s="29"/>
    </row>
    <row r="55" spans="2:4" x14ac:dyDescent="0.3">
      <c r="B55" s="34"/>
      <c r="C55" s="29"/>
      <c r="D55" s="29"/>
    </row>
    <row r="56" spans="2:4" x14ac:dyDescent="0.3">
      <c r="B56" s="34"/>
      <c r="C56" s="29"/>
      <c r="D56" s="29"/>
    </row>
    <row r="57" spans="2:4" x14ac:dyDescent="0.3">
      <c r="B57" s="34"/>
      <c r="C57" s="29"/>
      <c r="D57" s="29"/>
    </row>
    <row r="58" spans="2:4" x14ac:dyDescent="0.3">
      <c r="B58" s="34"/>
      <c r="C58" s="29"/>
      <c r="D58" s="29"/>
    </row>
    <row r="59" spans="2:4" x14ac:dyDescent="0.3">
      <c r="B59" s="34"/>
      <c r="C59" s="29"/>
      <c r="D59" s="29"/>
    </row>
    <row r="60" spans="2:4" x14ac:dyDescent="0.3">
      <c r="B60" s="34"/>
      <c r="C60" s="29"/>
      <c r="D60" s="29"/>
    </row>
    <row r="61" spans="2:4" x14ac:dyDescent="0.3">
      <c r="B61" s="34"/>
      <c r="C61" s="29"/>
      <c r="D61" s="29"/>
    </row>
    <row r="62" spans="2:4" x14ac:dyDescent="0.3">
      <c r="B62" s="34"/>
      <c r="C62" s="29"/>
      <c r="D62" s="29"/>
    </row>
    <row r="63" spans="2:4" x14ac:dyDescent="0.3">
      <c r="B63" s="34"/>
      <c r="C63" s="29"/>
      <c r="D63" s="29"/>
    </row>
    <row r="64" spans="2:4" x14ac:dyDescent="0.3">
      <c r="B64" s="34"/>
      <c r="C64" s="29"/>
      <c r="D64" s="29"/>
    </row>
    <row r="65" spans="2:4" x14ac:dyDescent="0.3">
      <c r="B65" s="34"/>
      <c r="C65" s="29"/>
      <c r="D65" s="29"/>
    </row>
    <row r="66" spans="2:4" x14ac:dyDescent="0.3">
      <c r="B66" s="34"/>
      <c r="C66" s="29"/>
      <c r="D66" s="29"/>
    </row>
    <row r="67" spans="2:4" x14ac:dyDescent="0.3">
      <c r="B67" s="34"/>
      <c r="C67" s="29"/>
      <c r="D67" s="29"/>
    </row>
    <row r="68" spans="2:4" x14ac:dyDescent="0.3">
      <c r="B68" s="34"/>
      <c r="C68" s="29"/>
      <c r="D68" s="29"/>
    </row>
    <row r="69" spans="2:4" x14ac:dyDescent="0.3">
      <c r="B69" s="34"/>
      <c r="C69" s="29"/>
      <c r="D69" s="29"/>
    </row>
    <row r="70" spans="2:4" x14ac:dyDescent="0.3">
      <c r="B70" s="34"/>
      <c r="C70" s="29"/>
      <c r="D70" s="29"/>
    </row>
    <row r="71" spans="2:4" x14ac:dyDescent="0.3">
      <c r="B71" s="34"/>
      <c r="C71" s="29"/>
      <c r="D71" s="29"/>
    </row>
    <row r="72" spans="2:4" x14ac:dyDescent="0.3">
      <c r="B72" s="34"/>
      <c r="C72" s="29"/>
      <c r="D72" s="29"/>
    </row>
    <row r="73" spans="2:4" x14ac:dyDescent="0.3">
      <c r="B73" s="34"/>
      <c r="C73" s="29"/>
      <c r="D73" s="29"/>
    </row>
    <row r="74" spans="2:4" x14ac:dyDescent="0.3">
      <c r="B74" s="34"/>
      <c r="C74" s="29"/>
      <c r="D74" s="29"/>
    </row>
    <row r="75" spans="2:4" x14ac:dyDescent="0.3">
      <c r="B75" s="34"/>
      <c r="C75" s="29"/>
      <c r="D75" s="29"/>
    </row>
    <row r="76" spans="2:4" x14ac:dyDescent="0.3">
      <c r="B76" s="34"/>
      <c r="C76" s="29"/>
      <c r="D76" s="29"/>
    </row>
    <row r="77" spans="2:4" x14ac:dyDescent="0.3">
      <c r="B77" s="34"/>
      <c r="C77" s="29"/>
      <c r="D77" s="29"/>
    </row>
    <row r="78" spans="2:4" x14ac:dyDescent="0.3">
      <c r="B78" s="34"/>
      <c r="C78" s="29"/>
      <c r="D78" s="29"/>
    </row>
    <row r="79" spans="2:4" x14ac:dyDescent="0.3">
      <c r="B79" s="34"/>
      <c r="C79" s="29"/>
      <c r="D79" s="29"/>
    </row>
    <row r="80" spans="2:4" x14ac:dyDescent="0.3">
      <c r="B80" s="34"/>
      <c r="C80" s="29"/>
      <c r="D80" s="29"/>
    </row>
    <row r="81" spans="2:4" x14ac:dyDescent="0.3">
      <c r="B81" s="34"/>
      <c r="C81" s="29"/>
      <c r="D81" s="29"/>
    </row>
    <row r="82" spans="2:4" x14ac:dyDescent="0.3">
      <c r="B82" s="34"/>
      <c r="C82" s="29"/>
      <c r="D82" s="29"/>
    </row>
    <row r="83" spans="2:4" x14ac:dyDescent="0.3">
      <c r="B83" s="34"/>
      <c r="C83" s="29"/>
      <c r="D83" s="29"/>
    </row>
    <row r="84" spans="2:4" x14ac:dyDescent="0.3">
      <c r="B84" s="34"/>
      <c r="C84" s="29"/>
      <c r="D84" s="29"/>
    </row>
    <row r="85" spans="2:4" x14ac:dyDescent="0.3">
      <c r="B85" s="34"/>
      <c r="C85" s="29"/>
      <c r="D85" s="29"/>
    </row>
    <row r="86" spans="2:4" x14ac:dyDescent="0.3">
      <c r="B86" s="34"/>
      <c r="C86" s="29"/>
      <c r="D86" s="29"/>
    </row>
    <row r="87" spans="2:4" x14ac:dyDescent="0.3">
      <c r="B87" s="34"/>
      <c r="C87" s="29"/>
      <c r="D87" s="29"/>
    </row>
    <row r="88" spans="2:4" x14ac:dyDescent="0.3">
      <c r="B88" s="34"/>
      <c r="C88" s="29"/>
      <c r="D88" s="29"/>
    </row>
    <row r="89" spans="2:4" x14ac:dyDescent="0.3">
      <c r="B89" s="34"/>
      <c r="C89" s="29"/>
      <c r="D89" s="29"/>
    </row>
    <row r="90" spans="2:4" x14ac:dyDescent="0.3">
      <c r="B90" s="34"/>
      <c r="C90" s="29"/>
      <c r="D90" s="29"/>
    </row>
    <row r="91" spans="2:4" x14ac:dyDescent="0.3">
      <c r="B91" s="34"/>
      <c r="C91" s="29"/>
      <c r="D91" s="29"/>
    </row>
    <row r="92" spans="2:4" x14ac:dyDescent="0.3">
      <c r="B92" s="34"/>
      <c r="C92" s="29"/>
      <c r="D92" s="29"/>
    </row>
    <row r="93" spans="2:4" x14ac:dyDescent="0.3">
      <c r="B93" s="34"/>
      <c r="C93" s="29"/>
      <c r="D93" s="29"/>
    </row>
    <row r="94" spans="2:4" x14ac:dyDescent="0.3">
      <c r="B94" s="34"/>
      <c r="C94" s="29"/>
      <c r="D94" s="29"/>
    </row>
    <row r="95" spans="2:4" x14ac:dyDescent="0.3">
      <c r="B95" s="34"/>
      <c r="C95" s="29"/>
      <c r="D95" s="29"/>
    </row>
    <row r="96" spans="2:4" x14ac:dyDescent="0.3">
      <c r="B96" s="34"/>
      <c r="C96" s="29"/>
      <c r="D96" s="29"/>
    </row>
    <row r="97" spans="2:4" x14ac:dyDescent="0.3">
      <c r="B97" s="34"/>
      <c r="C97" s="29"/>
      <c r="D97" s="29"/>
    </row>
    <row r="98" spans="2:4" x14ac:dyDescent="0.3">
      <c r="B98" s="34"/>
      <c r="C98" s="29"/>
      <c r="D98" s="29"/>
    </row>
    <row r="99" spans="2:4" x14ac:dyDescent="0.3">
      <c r="B99" s="34"/>
      <c r="C99" s="29"/>
      <c r="D99" s="29"/>
    </row>
    <row r="100" spans="2:4" x14ac:dyDescent="0.3">
      <c r="B100" s="34"/>
      <c r="C100" s="29"/>
      <c r="D100" s="29"/>
    </row>
    <row r="101" spans="2:4" x14ac:dyDescent="0.3">
      <c r="B101" s="34"/>
      <c r="C101" s="29"/>
      <c r="D101" s="29"/>
    </row>
    <row r="102" spans="2:4" x14ac:dyDescent="0.3">
      <c r="B102" s="34"/>
      <c r="C102" s="29"/>
      <c r="D102" s="29"/>
    </row>
    <row r="103" spans="2:4" x14ac:dyDescent="0.3">
      <c r="B103" s="34"/>
      <c r="C103" s="29"/>
      <c r="D103" s="29"/>
    </row>
    <row r="104" spans="2:4" x14ac:dyDescent="0.3">
      <c r="B104" s="34"/>
      <c r="C104" s="29"/>
      <c r="D104" s="29"/>
    </row>
    <row r="105" spans="2:4" x14ac:dyDescent="0.3">
      <c r="B105" s="34"/>
      <c r="C105" s="29"/>
      <c r="D105" s="29"/>
    </row>
    <row r="106" spans="2:4" x14ac:dyDescent="0.3">
      <c r="B106" s="34"/>
      <c r="C106" s="29"/>
      <c r="D106" s="29"/>
    </row>
    <row r="107" spans="2:4" x14ac:dyDescent="0.3">
      <c r="B107" s="34"/>
      <c r="C107" s="29"/>
      <c r="D107" s="29"/>
    </row>
    <row r="108" spans="2:4" x14ac:dyDescent="0.3">
      <c r="B108" s="34"/>
      <c r="C108" s="29"/>
      <c r="D108" s="29"/>
    </row>
    <row r="109" spans="2:4" x14ac:dyDescent="0.3">
      <c r="B109" s="34"/>
      <c r="C109" s="29"/>
      <c r="D109" s="29"/>
    </row>
    <row r="110" spans="2:4" x14ac:dyDescent="0.3">
      <c r="B110" s="34"/>
      <c r="C110" s="29"/>
      <c r="D110" s="29"/>
    </row>
    <row r="111" spans="2:4" x14ac:dyDescent="0.3">
      <c r="B111" s="34"/>
      <c r="C111" s="29"/>
      <c r="D111" s="29"/>
    </row>
    <row r="112" spans="2:4" x14ac:dyDescent="0.3">
      <c r="B112" s="34"/>
      <c r="C112" s="29"/>
      <c r="D112" s="29"/>
    </row>
    <row r="113" spans="2:4" x14ac:dyDescent="0.3">
      <c r="B113" s="34"/>
      <c r="C113" s="29"/>
      <c r="D113" s="29"/>
    </row>
    <row r="114" spans="2:4" x14ac:dyDescent="0.3">
      <c r="B114" s="34"/>
      <c r="C114" s="29"/>
      <c r="D114" s="29"/>
    </row>
    <row r="115" spans="2:4" x14ac:dyDescent="0.3">
      <c r="B115" s="34"/>
      <c r="C115" s="29"/>
      <c r="D115" s="29"/>
    </row>
    <row r="116" spans="2:4" x14ac:dyDescent="0.3">
      <c r="B116" s="34"/>
      <c r="C116" s="29"/>
      <c r="D116" s="29"/>
    </row>
    <row r="117" spans="2:4" x14ac:dyDescent="0.3">
      <c r="B117" s="34"/>
      <c r="C117" s="29"/>
      <c r="D117" s="29"/>
    </row>
    <row r="118" spans="2:4" x14ac:dyDescent="0.3">
      <c r="B118" s="34"/>
      <c r="C118" s="29"/>
      <c r="D118" s="29"/>
    </row>
    <row r="119" spans="2:4" x14ac:dyDescent="0.3">
      <c r="B119" s="34"/>
      <c r="C119" s="29"/>
      <c r="D119" s="29"/>
    </row>
    <row r="120" spans="2:4" x14ac:dyDescent="0.3">
      <c r="B120" s="34"/>
      <c r="C120" s="29"/>
      <c r="D120" s="29"/>
    </row>
    <row r="121" spans="2:4" x14ac:dyDescent="0.3">
      <c r="B121" s="34"/>
      <c r="C121" s="29"/>
      <c r="D121" s="29"/>
    </row>
    <row r="122" spans="2:4" x14ac:dyDescent="0.3">
      <c r="B122" s="34"/>
      <c r="C122" s="29"/>
      <c r="D122" s="29"/>
    </row>
    <row r="123" spans="2:4" x14ac:dyDescent="0.3">
      <c r="B123" s="34"/>
      <c r="C123" s="29"/>
      <c r="D123" s="29"/>
    </row>
    <row r="124" spans="2:4" x14ac:dyDescent="0.3">
      <c r="B124" s="34"/>
      <c r="C124" s="29"/>
      <c r="D124" s="29"/>
    </row>
    <row r="125" spans="2:4" x14ac:dyDescent="0.3">
      <c r="B125" s="34"/>
      <c r="C125" s="29"/>
      <c r="D125" s="29"/>
    </row>
    <row r="126" spans="2:4" x14ac:dyDescent="0.3">
      <c r="B126" s="34"/>
      <c r="C126" s="29"/>
      <c r="D126" s="29"/>
    </row>
    <row r="127" spans="2:4" x14ac:dyDescent="0.3">
      <c r="B127" s="34"/>
      <c r="C127" s="29"/>
      <c r="D127" s="29"/>
    </row>
    <row r="128" spans="2:4" x14ac:dyDescent="0.3">
      <c r="B128" s="34"/>
      <c r="C128" s="29"/>
      <c r="D128" s="29"/>
    </row>
    <row r="129" spans="2:4" x14ac:dyDescent="0.3">
      <c r="B129" s="34"/>
      <c r="C129" s="29"/>
      <c r="D129" s="29"/>
    </row>
    <row r="130" spans="2:4" x14ac:dyDescent="0.3">
      <c r="B130" s="34"/>
      <c r="C130" s="29"/>
      <c r="D130" s="29"/>
    </row>
    <row r="131" spans="2:4" x14ac:dyDescent="0.3">
      <c r="B131" s="34"/>
      <c r="C131" s="29"/>
      <c r="D131" s="29"/>
    </row>
    <row r="132" spans="2:4" x14ac:dyDescent="0.3">
      <c r="B132" s="34"/>
      <c r="C132" s="29"/>
      <c r="D132" s="29"/>
    </row>
    <row r="133" spans="2:4" x14ac:dyDescent="0.3">
      <c r="B133" s="34"/>
      <c r="C133" s="29"/>
      <c r="D133" s="29"/>
    </row>
    <row r="134" spans="2:4" x14ac:dyDescent="0.3">
      <c r="B134" s="34"/>
      <c r="C134" s="29"/>
      <c r="D134" s="29"/>
    </row>
    <row r="135" spans="2:4" x14ac:dyDescent="0.3">
      <c r="B135" s="34"/>
      <c r="C135" s="29"/>
      <c r="D135" s="29"/>
    </row>
    <row r="136" spans="2:4" x14ac:dyDescent="0.3">
      <c r="B136" s="34"/>
      <c r="C136" s="29"/>
      <c r="D136" s="29"/>
    </row>
    <row r="137" spans="2:4" x14ac:dyDescent="0.3">
      <c r="B137" s="34"/>
      <c r="C137" s="29"/>
      <c r="D137" s="29"/>
    </row>
    <row r="138" spans="2:4" x14ac:dyDescent="0.3">
      <c r="B138" s="34"/>
      <c r="C138" s="29"/>
      <c r="D138" s="29"/>
    </row>
    <row r="139" spans="2:4" x14ac:dyDescent="0.3">
      <c r="B139" s="34"/>
      <c r="C139" s="29"/>
      <c r="D139" s="29"/>
    </row>
    <row r="140" spans="2:4" x14ac:dyDescent="0.3">
      <c r="B140" s="34"/>
      <c r="C140" s="29"/>
      <c r="D140" s="29"/>
    </row>
    <row r="141" spans="2:4" x14ac:dyDescent="0.3">
      <c r="B141" s="34"/>
      <c r="C141" s="29"/>
      <c r="D141" s="29"/>
    </row>
    <row r="142" spans="2:4" x14ac:dyDescent="0.3">
      <c r="B142" s="34"/>
      <c r="C142" s="29"/>
      <c r="D142" s="29"/>
    </row>
    <row r="143" spans="2:4" x14ac:dyDescent="0.3">
      <c r="B143" s="34"/>
      <c r="C143" s="29"/>
      <c r="D143" s="29"/>
    </row>
    <row r="144" spans="2:4" x14ac:dyDescent="0.3">
      <c r="B144" s="34"/>
      <c r="C144" s="29"/>
      <c r="D144" s="29"/>
    </row>
    <row r="145" spans="2:4" x14ac:dyDescent="0.3">
      <c r="B145" s="34"/>
      <c r="C145" s="29"/>
      <c r="D145" s="29"/>
    </row>
    <row r="146" spans="2:4" x14ac:dyDescent="0.3">
      <c r="B146" s="34"/>
      <c r="C146" s="29"/>
      <c r="D146" s="29"/>
    </row>
    <row r="147" spans="2:4" x14ac:dyDescent="0.3">
      <c r="B147" s="34"/>
      <c r="C147" s="29"/>
      <c r="D147" s="29"/>
    </row>
    <row r="148" spans="2:4" x14ac:dyDescent="0.3">
      <c r="B148" s="34"/>
      <c r="C148" s="29"/>
      <c r="D148" s="29"/>
    </row>
    <row r="149" spans="2:4" x14ac:dyDescent="0.3">
      <c r="B149" s="34"/>
      <c r="C149" s="29"/>
      <c r="D149" s="29"/>
    </row>
    <row r="150" spans="2:4" x14ac:dyDescent="0.3">
      <c r="B150" s="34"/>
      <c r="C150" s="29"/>
      <c r="D150" s="29"/>
    </row>
    <row r="151" spans="2:4" x14ac:dyDescent="0.3">
      <c r="B151" s="34"/>
      <c r="C151" s="29"/>
      <c r="D151" s="29"/>
    </row>
    <row r="152" spans="2:4" x14ac:dyDescent="0.3">
      <c r="B152" s="34"/>
      <c r="C152" s="29"/>
      <c r="D152" s="29"/>
    </row>
    <row r="153" spans="2:4" x14ac:dyDescent="0.3">
      <c r="B153" s="34"/>
      <c r="C153" s="29"/>
      <c r="D153" s="29"/>
    </row>
    <row r="154" spans="2:4" x14ac:dyDescent="0.3">
      <c r="B154" s="34"/>
      <c r="C154" s="29"/>
      <c r="D154" s="29"/>
    </row>
    <row r="155" spans="2:4" x14ac:dyDescent="0.3">
      <c r="B155" s="34"/>
      <c r="C155" s="29"/>
      <c r="D155" s="29"/>
    </row>
    <row r="156" spans="2:4" x14ac:dyDescent="0.3">
      <c r="B156" s="34"/>
      <c r="C156" s="29"/>
      <c r="D156" s="29"/>
    </row>
    <row r="157" spans="2:4" x14ac:dyDescent="0.3">
      <c r="B157" s="34"/>
      <c r="C157" s="29"/>
      <c r="D157" s="29"/>
    </row>
    <row r="158" spans="2:4" x14ac:dyDescent="0.3">
      <c r="B158" s="34"/>
      <c r="C158" s="29"/>
      <c r="D158" s="29"/>
    </row>
    <row r="159" spans="2:4" x14ac:dyDescent="0.3">
      <c r="B159" s="34"/>
      <c r="C159" s="29"/>
      <c r="D159" s="29"/>
    </row>
    <row r="160" spans="2:4" x14ac:dyDescent="0.3">
      <c r="B160" s="34"/>
      <c r="C160" s="29"/>
      <c r="D160" s="29"/>
    </row>
    <row r="161" spans="2:4" x14ac:dyDescent="0.3">
      <c r="B161" s="34"/>
      <c r="C161" s="29"/>
      <c r="D161" s="29"/>
    </row>
    <row r="162" spans="2:4" x14ac:dyDescent="0.3">
      <c r="B162" s="34"/>
      <c r="C162" s="29"/>
      <c r="D162" s="29"/>
    </row>
    <row r="163" spans="2:4" x14ac:dyDescent="0.3">
      <c r="B163" s="34"/>
      <c r="C163" s="29"/>
      <c r="D163" s="29"/>
    </row>
    <row r="164" spans="2:4" x14ac:dyDescent="0.3">
      <c r="B164" s="34"/>
      <c r="C164" s="29"/>
      <c r="D164" s="29"/>
    </row>
    <row r="165" spans="2:4" x14ac:dyDescent="0.3">
      <c r="B165" s="34"/>
      <c r="C165" s="29"/>
      <c r="D165" s="29"/>
    </row>
    <row r="166" spans="2:4" x14ac:dyDescent="0.3">
      <c r="B166" s="34"/>
      <c r="C166" s="29"/>
      <c r="D166" s="29"/>
    </row>
    <row r="167" spans="2:4" x14ac:dyDescent="0.3">
      <c r="B167" s="34"/>
      <c r="C167" s="29"/>
      <c r="D167" s="29"/>
    </row>
    <row r="168" spans="2:4" x14ac:dyDescent="0.3">
      <c r="B168" s="34"/>
      <c r="C168" s="29"/>
      <c r="D168" s="29"/>
    </row>
    <row r="169" spans="2:4" x14ac:dyDescent="0.3">
      <c r="B169" s="34"/>
      <c r="C169" s="29"/>
      <c r="D169" s="29"/>
    </row>
    <row r="170" spans="2:4" x14ac:dyDescent="0.3">
      <c r="B170" s="34"/>
      <c r="C170" s="29"/>
      <c r="D170" s="29"/>
    </row>
    <row r="171" spans="2:4" x14ac:dyDescent="0.3">
      <c r="B171" s="34"/>
      <c r="C171" s="29"/>
      <c r="D171" s="29"/>
    </row>
    <row r="172" spans="2:4" x14ac:dyDescent="0.3">
      <c r="B172" s="34"/>
      <c r="C172" s="29"/>
      <c r="D172" s="29"/>
    </row>
    <row r="173" spans="2:4" x14ac:dyDescent="0.3">
      <c r="B173" s="34"/>
      <c r="C173" s="29"/>
      <c r="D173" s="29"/>
    </row>
    <row r="174" spans="2:4" x14ac:dyDescent="0.3">
      <c r="B174" s="34"/>
      <c r="C174" s="29"/>
      <c r="D174" s="29"/>
    </row>
    <row r="175" spans="2:4" x14ac:dyDescent="0.3">
      <c r="B175" s="34"/>
      <c r="C175" s="29"/>
      <c r="D175" s="29"/>
    </row>
    <row r="176" spans="2:4" x14ac:dyDescent="0.3">
      <c r="B176" s="34"/>
      <c r="C176" s="29"/>
      <c r="D176" s="29"/>
    </row>
    <row r="177" spans="2:4" x14ac:dyDescent="0.3">
      <c r="B177" s="34"/>
      <c r="C177" s="29"/>
      <c r="D177" s="29"/>
    </row>
    <row r="178" spans="2:4" x14ac:dyDescent="0.3">
      <c r="B178" s="34"/>
      <c r="C178" s="29"/>
      <c r="D178" s="29"/>
    </row>
    <row r="179" spans="2:4" x14ac:dyDescent="0.3">
      <c r="B179" s="34"/>
      <c r="C179" s="29"/>
      <c r="D179" s="29"/>
    </row>
    <row r="180" spans="2:4" x14ac:dyDescent="0.3">
      <c r="B180" s="34"/>
      <c r="C180" s="29"/>
      <c r="D180" s="29"/>
    </row>
    <row r="181" spans="2:4" x14ac:dyDescent="0.3">
      <c r="B181" s="34"/>
      <c r="C181" s="29"/>
      <c r="D181" s="29"/>
    </row>
    <row r="182" spans="2:4" x14ac:dyDescent="0.3">
      <c r="B182" s="34"/>
      <c r="C182" s="29"/>
      <c r="D182" s="29"/>
    </row>
    <row r="183" spans="2:4" x14ac:dyDescent="0.3">
      <c r="B183" s="34"/>
      <c r="C183" s="29"/>
      <c r="D183" s="29"/>
    </row>
    <row r="184" spans="2:4" x14ac:dyDescent="0.3">
      <c r="B184" s="34"/>
      <c r="C184" s="29"/>
      <c r="D184" s="29"/>
    </row>
    <row r="185" spans="2:4" x14ac:dyDescent="0.3">
      <c r="B185" s="34"/>
      <c r="C185" s="29"/>
      <c r="D185" s="29"/>
    </row>
    <row r="186" spans="2:4" x14ac:dyDescent="0.3">
      <c r="B186" s="34"/>
      <c r="C186" s="29"/>
      <c r="D186" s="29"/>
    </row>
    <row r="187" spans="2:4" x14ac:dyDescent="0.3">
      <c r="B187" s="34"/>
      <c r="C187" s="29"/>
      <c r="D187" s="29"/>
    </row>
    <row r="188" spans="2:4" x14ac:dyDescent="0.3">
      <c r="B188" s="34"/>
      <c r="C188" s="29"/>
      <c r="D188" s="29"/>
    </row>
    <row r="189" spans="2:4" x14ac:dyDescent="0.3">
      <c r="B189" s="34"/>
      <c r="C189" s="29"/>
      <c r="D189" s="29"/>
    </row>
    <row r="190" spans="2:4" x14ac:dyDescent="0.3">
      <c r="B190" s="34"/>
      <c r="C190" s="29"/>
      <c r="D190" s="29"/>
    </row>
    <row r="191" spans="2:4" x14ac:dyDescent="0.3">
      <c r="B191" s="34"/>
      <c r="C191" s="29"/>
      <c r="D191" s="29"/>
    </row>
    <row r="192" spans="2:4" x14ac:dyDescent="0.3">
      <c r="B192" s="34"/>
      <c r="C192" s="29"/>
      <c r="D192" s="29"/>
    </row>
    <row r="193" spans="2:4" x14ac:dyDescent="0.3">
      <c r="B193" s="34"/>
      <c r="C193" s="29"/>
      <c r="D193" s="29"/>
    </row>
    <row r="194" spans="2:4" x14ac:dyDescent="0.3">
      <c r="B194" s="34"/>
      <c r="C194" s="29"/>
      <c r="D194" s="29"/>
    </row>
    <row r="195" spans="2:4" x14ac:dyDescent="0.3">
      <c r="B195" s="34"/>
      <c r="C195" s="29"/>
      <c r="D195" s="29"/>
    </row>
    <row r="196" spans="2:4" x14ac:dyDescent="0.3">
      <c r="B196" s="34"/>
      <c r="C196" s="29"/>
      <c r="D196" s="29"/>
    </row>
    <row r="197" spans="2:4" x14ac:dyDescent="0.3">
      <c r="B197" s="34"/>
      <c r="C197" s="29"/>
      <c r="D197" s="29"/>
    </row>
    <row r="198" spans="2:4" x14ac:dyDescent="0.3">
      <c r="B198" s="34"/>
      <c r="C198" s="29"/>
      <c r="D198" s="29"/>
    </row>
    <row r="199" spans="2:4" x14ac:dyDescent="0.3">
      <c r="B199" s="34"/>
      <c r="C199" s="29"/>
      <c r="D199" s="29"/>
    </row>
    <row r="200" spans="2:4" x14ac:dyDescent="0.3">
      <c r="B200" s="34"/>
      <c r="C200" s="29"/>
      <c r="D200" s="29"/>
    </row>
    <row r="201" spans="2:4" x14ac:dyDescent="0.3">
      <c r="B201" s="34"/>
      <c r="C201" s="29"/>
      <c r="D201" s="29"/>
    </row>
    <row r="202" spans="2:4" x14ac:dyDescent="0.3">
      <c r="B202" s="34"/>
      <c r="C202" s="29"/>
      <c r="D202" s="29"/>
    </row>
    <row r="203" spans="2:4" x14ac:dyDescent="0.3">
      <c r="B203" s="34"/>
      <c r="C203" s="29"/>
      <c r="D203" s="29"/>
    </row>
    <row r="204" spans="2:4" x14ac:dyDescent="0.3">
      <c r="B204" s="34"/>
      <c r="C204" s="29"/>
      <c r="D204" s="29"/>
    </row>
    <row r="205" spans="2:4" x14ac:dyDescent="0.3">
      <c r="B205" s="34"/>
      <c r="C205" s="29"/>
      <c r="D205" s="29"/>
    </row>
    <row r="206" spans="2:4" x14ac:dyDescent="0.3">
      <c r="B206" s="34"/>
      <c r="C206" s="29"/>
      <c r="D206" s="29"/>
    </row>
    <row r="207" spans="2:4" x14ac:dyDescent="0.3">
      <c r="B207" s="34"/>
      <c r="C207" s="29"/>
      <c r="D207" s="29"/>
    </row>
    <row r="208" spans="2:4" x14ac:dyDescent="0.3">
      <c r="B208" s="34"/>
      <c r="C208" s="29"/>
      <c r="D208" s="29"/>
    </row>
    <row r="209" spans="2:4" x14ac:dyDescent="0.3">
      <c r="B209" s="34"/>
      <c r="C209" s="29"/>
      <c r="D209" s="29"/>
    </row>
    <row r="210" spans="2:4" x14ac:dyDescent="0.3">
      <c r="B210" s="34"/>
      <c r="C210" s="29"/>
      <c r="D210" s="29"/>
    </row>
    <row r="211" spans="2:4" x14ac:dyDescent="0.3">
      <c r="B211" s="34"/>
      <c r="C211" s="29"/>
      <c r="D211" s="29"/>
    </row>
    <row r="212" spans="2:4" x14ac:dyDescent="0.3">
      <c r="B212" s="34"/>
      <c r="C212" s="29"/>
      <c r="D212" s="29"/>
    </row>
    <row r="213" spans="2:4" x14ac:dyDescent="0.3">
      <c r="B213" s="34"/>
      <c r="C213" s="29"/>
      <c r="D213" s="29"/>
    </row>
    <row r="214" spans="2:4" x14ac:dyDescent="0.3">
      <c r="B214" s="34"/>
      <c r="C214" s="29"/>
      <c r="D214" s="29"/>
    </row>
    <row r="215" spans="2:4" x14ac:dyDescent="0.3">
      <c r="B215" s="34"/>
      <c r="C215" s="29"/>
      <c r="D215" s="29"/>
    </row>
    <row r="216" spans="2:4" x14ac:dyDescent="0.3">
      <c r="B216" s="34"/>
      <c r="C216" s="29"/>
      <c r="D216" s="29"/>
    </row>
    <row r="217" spans="2:4" x14ac:dyDescent="0.3">
      <c r="B217" s="34"/>
      <c r="C217" s="29"/>
      <c r="D217" s="29"/>
    </row>
    <row r="218" spans="2:4" x14ac:dyDescent="0.3">
      <c r="B218" s="34"/>
      <c r="C218" s="29"/>
      <c r="D218" s="29"/>
    </row>
    <row r="219" spans="2:4" x14ac:dyDescent="0.3">
      <c r="B219" s="34"/>
      <c r="C219" s="29"/>
      <c r="D219" s="29"/>
    </row>
    <row r="220" spans="2:4" x14ac:dyDescent="0.3">
      <c r="B220" s="34"/>
      <c r="C220" s="29"/>
      <c r="D220" s="29"/>
    </row>
    <row r="221" spans="2:4" x14ac:dyDescent="0.3">
      <c r="B221" s="34"/>
      <c r="C221" s="29"/>
      <c r="D221" s="29"/>
    </row>
    <row r="222" spans="2:4" x14ac:dyDescent="0.3">
      <c r="B222" s="34"/>
      <c r="C222" s="29"/>
      <c r="D222" s="29"/>
    </row>
    <row r="223" spans="2:4" x14ac:dyDescent="0.3">
      <c r="B223" s="34"/>
      <c r="C223" s="29"/>
      <c r="D223" s="29"/>
    </row>
    <row r="224" spans="2:4" x14ac:dyDescent="0.3">
      <c r="B224" s="34"/>
      <c r="C224" s="29"/>
      <c r="D224" s="29"/>
    </row>
    <row r="225" spans="2:4" x14ac:dyDescent="0.3">
      <c r="B225" s="34"/>
      <c r="C225" s="29"/>
      <c r="D225" s="29"/>
    </row>
    <row r="226" spans="2:4" x14ac:dyDescent="0.3">
      <c r="B226" s="34"/>
      <c r="C226" s="29"/>
      <c r="D226" s="29"/>
    </row>
    <row r="227" spans="2:4" x14ac:dyDescent="0.3">
      <c r="B227" s="34"/>
      <c r="C227" s="29"/>
      <c r="D227" s="29"/>
    </row>
    <row r="228" spans="2:4" x14ac:dyDescent="0.3">
      <c r="B228" s="34"/>
      <c r="C228" s="29"/>
      <c r="D228" s="29"/>
    </row>
    <row r="229" spans="2:4" x14ac:dyDescent="0.3">
      <c r="B229" s="34"/>
      <c r="C229" s="29"/>
      <c r="D229" s="29"/>
    </row>
    <row r="230" spans="2:4" x14ac:dyDescent="0.3">
      <c r="B230" s="34"/>
      <c r="C230" s="29"/>
      <c r="D230" s="29"/>
    </row>
    <row r="231" spans="2:4" x14ac:dyDescent="0.3">
      <c r="B231" s="34"/>
      <c r="C231" s="29"/>
      <c r="D231" s="29"/>
    </row>
    <row r="232" spans="2:4" x14ac:dyDescent="0.3">
      <c r="B232" s="34"/>
      <c r="C232" s="29"/>
      <c r="D232" s="29"/>
    </row>
    <row r="233" spans="2:4" x14ac:dyDescent="0.3">
      <c r="B233" s="34"/>
      <c r="C233" s="29"/>
      <c r="D233" s="29"/>
    </row>
    <row r="234" spans="2:4" x14ac:dyDescent="0.3">
      <c r="B234" s="34"/>
      <c r="C234" s="29"/>
      <c r="D234" s="29"/>
    </row>
    <row r="235" spans="2:4" x14ac:dyDescent="0.3">
      <c r="B235" s="34"/>
      <c r="C235" s="29"/>
      <c r="D235" s="29"/>
    </row>
    <row r="236" spans="2:4" x14ac:dyDescent="0.3">
      <c r="B236" s="34"/>
      <c r="C236" s="29"/>
      <c r="D236" s="29"/>
    </row>
    <row r="237" spans="2:4" x14ac:dyDescent="0.3">
      <c r="B237" s="34"/>
      <c r="C237" s="29"/>
      <c r="D237" s="29"/>
    </row>
    <row r="238" spans="2:4" x14ac:dyDescent="0.3">
      <c r="B238" s="34"/>
      <c r="C238" s="29"/>
      <c r="D238" s="29"/>
    </row>
    <row r="239" spans="2:4" x14ac:dyDescent="0.3">
      <c r="B239" s="34"/>
      <c r="C239" s="29"/>
      <c r="D239" s="29"/>
    </row>
    <row r="240" spans="2:4" x14ac:dyDescent="0.3">
      <c r="B240" s="34"/>
      <c r="C240" s="29"/>
      <c r="D240" s="29"/>
    </row>
    <row r="241" spans="2:4" x14ac:dyDescent="0.3">
      <c r="B241" s="34"/>
      <c r="C241" s="29"/>
      <c r="D241" s="29"/>
    </row>
    <row r="242" spans="2:4" x14ac:dyDescent="0.3">
      <c r="B242" s="34"/>
      <c r="C242" s="29"/>
      <c r="D242" s="29"/>
    </row>
    <row r="243" spans="2:4" x14ac:dyDescent="0.3">
      <c r="B243" s="34"/>
      <c r="C243" s="29"/>
      <c r="D243" s="29"/>
    </row>
    <row r="244" spans="2:4" x14ac:dyDescent="0.3">
      <c r="B244" s="34"/>
      <c r="C244" s="29"/>
      <c r="D244" s="29"/>
    </row>
    <row r="245" spans="2:4" x14ac:dyDescent="0.3">
      <c r="B245" s="34"/>
      <c r="C245" s="29"/>
      <c r="D245" s="29"/>
    </row>
    <row r="246" spans="2:4" x14ac:dyDescent="0.3">
      <c r="B246" s="34"/>
      <c r="C246" s="29"/>
      <c r="D246" s="29"/>
    </row>
    <row r="247" spans="2:4" x14ac:dyDescent="0.3">
      <c r="B247" s="34"/>
      <c r="C247" s="29"/>
      <c r="D247" s="29"/>
    </row>
    <row r="248" spans="2:4" x14ac:dyDescent="0.3">
      <c r="B248" s="34"/>
      <c r="C248" s="29"/>
      <c r="D248" s="29"/>
    </row>
    <row r="249" spans="2:4" x14ac:dyDescent="0.3">
      <c r="B249" s="34"/>
      <c r="C249" s="29"/>
      <c r="D249" s="29"/>
    </row>
    <row r="250" spans="2:4" x14ac:dyDescent="0.3">
      <c r="B250" s="34"/>
      <c r="C250" s="29"/>
      <c r="D250" s="29"/>
    </row>
    <row r="251" spans="2:4" x14ac:dyDescent="0.3">
      <c r="B251" s="34"/>
      <c r="C251" s="29"/>
      <c r="D251" s="29"/>
    </row>
    <row r="252" spans="2:4" x14ac:dyDescent="0.3">
      <c r="B252" s="34"/>
      <c r="C252" s="29"/>
      <c r="D252" s="29"/>
    </row>
    <row r="253" spans="2:4" x14ac:dyDescent="0.3">
      <c r="B253" s="34"/>
      <c r="C253" s="29"/>
      <c r="D253" s="29"/>
    </row>
    <row r="254" spans="2:4" x14ac:dyDescent="0.3">
      <c r="B254" s="34"/>
      <c r="C254" s="29"/>
      <c r="D254" s="29"/>
    </row>
    <row r="255" spans="2:4" x14ac:dyDescent="0.3">
      <c r="B255" s="34"/>
      <c r="C255" s="29"/>
      <c r="D255" s="29"/>
    </row>
    <row r="256" spans="2:4" x14ac:dyDescent="0.3">
      <c r="B256" s="34"/>
      <c r="C256" s="29"/>
      <c r="D256" s="29"/>
    </row>
    <row r="257" spans="2:4" x14ac:dyDescent="0.3">
      <c r="B257" s="34"/>
      <c r="C257" s="29"/>
      <c r="D257" s="29"/>
    </row>
    <row r="258" spans="2:4" x14ac:dyDescent="0.3">
      <c r="B258" s="34"/>
      <c r="C258" s="29"/>
      <c r="D258" s="29"/>
    </row>
    <row r="259" spans="2:4" x14ac:dyDescent="0.3">
      <c r="B259" s="34"/>
      <c r="C259" s="29"/>
      <c r="D259" s="29"/>
    </row>
    <row r="260" spans="2:4" x14ac:dyDescent="0.3">
      <c r="B260" s="34"/>
      <c r="C260" s="29"/>
      <c r="D260" s="29"/>
    </row>
    <row r="261" spans="2:4" x14ac:dyDescent="0.3">
      <c r="B261" s="34"/>
      <c r="C261" s="29"/>
      <c r="D261" s="29"/>
    </row>
    <row r="262" spans="2:4" x14ac:dyDescent="0.3">
      <c r="B262" s="34"/>
      <c r="C262" s="29"/>
      <c r="D262" s="29"/>
    </row>
    <row r="263" spans="2:4" x14ac:dyDescent="0.3">
      <c r="B263" s="34"/>
      <c r="C263" s="29"/>
      <c r="D263" s="29"/>
    </row>
    <row r="264" spans="2:4" x14ac:dyDescent="0.3">
      <c r="B264" s="34"/>
      <c r="C264" s="29"/>
      <c r="D264" s="29"/>
    </row>
    <row r="265" spans="2:4" x14ac:dyDescent="0.3">
      <c r="B265" s="34"/>
      <c r="C265" s="29"/>
      <c r="D265" s="29"/>
    </row>
    <row r="266" spans="2:4" x14ac:dyDescent="0.3">
      <c r="B266" s="34"/>
      <c r="C266" s="29"/>
      <c r="D266" s="29"/>
    </row>
    <row r="267" spans="2:4" x14ac:dyDescent="0.3">
      <c r="B267" s="34"/>
      <c r="C267" s="29"/>
      <c r="D267" s="29"/>
    </row>
    <row r="268" spans="2:4" x14ac:dyDescent="0.3">
      <c r="B268" s="34"/>
      <c r="C268" s="29"/>
      <c r="D268" s="29"/>
    </row>
    <row r="269" spans="2:4" x14ac:dyDescent="0.3">
      <c r="B269" s="34"/>
      <c r="C269" s="29"/>
      <c r="D269" s="29"/>
    </row>
    <row r="270" spans="2:4" x14ac:dyDescent="0.3">
      <c r="B270" s="34"/>
      <c r="C270" s="29"/>
      <c r="D270" s="29"/>
    </row>
    <row r="271" spans="2:4" x14ac:dyDescent="0.3">
      <c r="B271" s="34"/>
      <c r="C271" s="29"/>
      <c r="D271" s="29"/>
    </row>
    <row r="272" spans="2:4" x14ac:dyDescent="0.3">
      <c r="B272" s="34"/>
      <c r="C272" s="29"/>
      <c r="D272" s="29"/>
    </row>
    <row r="273" spans="2:4" x14ac:dyDescent="0.3">
      <c r="B273" s="34"/>
      <c r="C273" s="29"/>
      <c r="D273" s="29"/>
    </row>
    <row r="274" spans="2:4" x14ac:dyDescent="0.3">
      <c r="B274" s="34"/>
      <c r="C274" s="29"/>
      <c r="D274" s="29"/>
    </row>
    <row r="275" spans="2:4" x14ac:dyDescent="0.3">
      <c r="B275" s="34"/>
      <c r="C275" s="29"/>
      <c r="D275" s="29"/>
    </row>
    <row r="276" spans="2:4" x14ac:dyDescent="0.3">
      <c r="B276" s="34"/>
      <c r="C276" s="29"/>
      <c r="D276" s="29"/>
    </row>
    <row r="277" spans="2:4" x14ac:dyDescent="0.3">
      <c r="B277" s="34"/>
      <c r="C277" s="29"/>
      <c r="D277" s="29"/>
    </row>
    <row r="278" spans="2:4" x14ac:dyDescent="0.3">
      <c r="B278" s="34"/>
      <c r="C278" s="29"/>
      <c r="D278" s="29"/>
    </row>
    <row r="279" spans="2:4" x14ac:dyDescent="0.3">
      <c r="B279" s="34"/>
      <c r="C279" s="29"/>
      <c r="D279" s="29"/>
    </row>
    <row r="280" spans="2:4" x14ac:dyDescent="0.3">
      <c r="B280" s="34"/>
      <c r="C280" s="29"/>
      <c r="D280" s="29"/>
    </row>
    <row r="281" spans="2:4" x14ac:dyDescent="0.3">
      <c r="B281" s="34"/>
      <c r="C281" s="29"/>
      <c r="D281" s="29"/>
    </row>
    <row r="282" spans="2:4" x14ac:dyDescent="0.3">
      <c r="B282" s="34"/>
      <c r="C282" s="29"/>
      <c r="D282" s="29"/>
    </row>
    <row r="283" spans="2:4" x14ac:dyDescent="0.3">
      <c r="B283" s="34"/>
      <c r="C283" s="29"/>
      <c r="D283" s="29"/>
    </row>
    <row r="284" spans="2:4" x14ac:dyDescent="0.3">
      <c r="B284" s="34"/>
      <c r="C284" s="29"/>
      <c r="D284" s="29"/>
    </row>
    <row r="285" spans="2:4" x14ac:dyDescent="0.3">
      <c r="B285" s="34"/>
      <c r="C285" s="29"/>
      <c r="D285" s="29"/>
    </row>
    <row r="286" spans="2:4" x14ac:dyDescent="0.3">
      <c r="B286" s="34"/>
      <c r="C286" s="29"/>
      <c r="D286" s="29"/>
    </row>
    <row r="287" spans="2:4" x14ac:dyDescent="0.3">
      <c r="B287" s="34"/>
      <c r="C287" s="29"/>
      <c r="D287" s="29"/>
    </row>
    <row r="288" spans="2:4" x14ac:dyDescent="0.3">
      <c r="B288" s="34"/>
      <c r="C288" s="29"/>
      <c r="D288" s="29"/>
    </row>
    <row r="289" spans="2:4" x14ac:dyDescent="0.3">
      <c r="B289" s="34"/>
      <c r="C289" s="29"/>
      <c r="D289" s="29"/>
    </row>
    <row r="290" spans="2:4" x14ac:dyDescent="0.3">
      <c r="B290" s="34"/>
      <c r="C290" s="29"/>
      <c r="D290" s="29"/>
    </row>
    <row r="291" spans="2:4" x14ac:dyDescent="0.3">
      <c r="B291" s="34"/>
      <c r="C291" s="29"/>
      <c r="D291" s="29"/>
    </row>
    <row r="292" spans="2:4" x14ac:dyDescent="0.3">
      <c r="B292" s="34"/>
      <c r="C292" s="29"/>
      <c r="D292" s="29"/>
    </row>
    <row r="293" spans="2:4" x14ac:dyDescent="0.3">
      <c r="B293" s="34"/>
      <c r="C293" s="29"/>
      <c r="D293" s="29"/>
    </row>
    <row r="294" spans="2:4" x14ac:dyDescent="0.3">
      <c r="B294" s="34"/>
      <c r="C294" s="29"/>
      <c r="D294" s="29"/>
    </row>
    <row r="295" spans="2:4" x14ac:dyDescent="0.3">
      <c r="B295" s="34"/>
      <c r="C295" s="29"/>
      <c r="D295" s="29"/>
    </row>
    <row r="296" spans="2:4" x14ac:dyDescent="0.3">
      <c r="B296" s="34"/>
      <c r="C296" s="29"/>
      <c r="D296" s="29"/>
    </row>
    <row r="297" spans="2:4" x14ac:dyDescent="0.3">
      <c r="B297" s="34"/>
      <c r="C297" s="29"/>
      <c r="D297" s="29"/>
    </row>
    <row r="298" spans="2:4" x14ac:dyDescent="0.3">
      <c r="B298" s="34"/>
      <c r="C298" s="29"/>
      <c r="D298" s="29"/>
    </row>
    <row r="299" spans="2:4" x14ac:dyDescent="0.3">
      <c r="B299" s="34"/>
      <c r="C299" s="29"/>
      <c r="D299" s="29"/>
    </row>
    <row r="300" spans="2:4" x14ac:dyDescent="0.3">
      <c r="B300" s="34"/>
      <c r="C300" s="29"/>
      <c r="D300" s="29"/>
    </row>
    <row r="301" spans="2:4" x14ac:dyDescent="0.3">
      <c r="B301" s="34"/>
      <c r="C301" s="29"/>
      <c r="D301" s="29"/>
    </row>
    <row r="302" spans="2:4" x14ac:dyDescent="0.3">
      <c r="B302" s="34"/>
      <c r="C302" s="29"/>
      <c r="D302" s="29"/>
    </row>
    <row r="303" spans="2:4" x14ac:dyDescent="0.3">
      <c r="B303" s="34"/>
      <c r="C303" s="29"/>
      <c r="D303" s="29"/>
    </row>
    <row r="304" spans="2:4" x14ac:dyDescent="0.3">
      <c r="B304" s="34"/>
      <c r="C304" s="29"/>
      <c r="D304" s="29"/>
    </row>
    <row r="305" spans="2:4" x14ac:dyDescent="0.3">
      <c r="B305" s="34"/>
      <c r="C305" s="29"/>
      <c r="D305" s="29"/>
    </row>
    <row r="306" spans="2:4" x14ac:dyDescent="0.3">
      <c r="B306" s="34"/>
      <c r="C306" s="29"/>
      <c r="D306" s="29"/>
    </row>
    <row r="307" spans="2:4" x14ac:dyDescent="0.3">
      <c r="B307" s="34"/>
      <c r="C307" s="29"/>
      <c r="D307" s="29"/>
    </row>
    <row r="308" spans="2:4" x14ac:dyDescent="0.3">
      <c r="B308" s="34"/>
      <c r="C308" s="29"/>
      <c r="D308" s="29"/>
    </row>
    <row r="309" spans="2:4" x14ac:dyDescent="0.3">
      <c r="B309" s="34"/>
      <c r="C309" s="29"/>
      <c r="D309" s="29"/>
    </row>
    <row r="310" spans="2:4" x14ac:dyDescent="0.3">
      <c r="B310" s="34"/>
      <c r="C310" s="29"/>
      <c r="D310" s="29"/>
    </row>
    <row r="311" spans="2:4" x14ac:dyDescent="0.3">
      <c r="B311" s="34"/>
      <c r="C311" s="29"/>
      <c r="D311" s="29"/>
    </row>
    <row r="312" spans="2:4" x14ac:dyDescent="0.3">
      <c r="B312" s="34"/>
      <c r="C312" s="29"/>
      <c r="D312" s="29"/>
    </row>
    <row r="313" spans="2:4" x14ac:dyDescent="0.3">
      <c r="B313" s="34"/>
      <c r="C313" s="29"/>
      <c r="D313" s="29"/>
    </row>
    <row r="314" spans="2:4" x14ac:dyDescent="0.3">
      <c r="B314" s="34"/>
      <c r="C314" s="29"/>
      <c r="D314" s="29"/>
    </row>
    <row r="315" spans="2:4" x14ac:dyDescent="0.3">
      <c r="B315" s="34"/>
      <c r="C315" s="29"/>
      <c r="D315" s="29"/>
    </row>
    <row r="316" spans="2:4" x14ac:dyDescent="0.3">
      <c r="B316" s="34"/>
      <c r="C316" s="29"/>
      <c r="D316" s="29"/>
    </row>
    <row r="317" spans="2:4" x14ac:dyDescent="0.3">
      <c r="B317" s="34"/>
      <c r="C317" s="29"/>
      <c r="D317" s="29"/>
    </row>
    <row r="318" spans="2:4" x14ac:dyDescent="0.3">
      <c r="B318" s="34"/>
      <c r="C318" s="29"/>
      <c r="D318" s="29"/>
    </row>
    <row r="319" spans="2:4" x14ac:dyDescent="0.3">
      <c r="B319" s="34"/>
      <c r="C319" s="29"/>
      <c r="D319" s="29"/>
    </row>
    <row r="320" spans="2:4" x14ac:dyDescent="0.3">
      <c r="B320" s="34"/>
      <c r="C320" s="29"/>
      <c r="D320" s="29"/>
    </row>
    <row r="321" spans="2:4" x14ac:dyDescent="0.3">
      <c r="B321" s="34"/>
      <c r="C321" s="29"/>
      <c r="D321" s="29"/>
    </row>
    <row r="322" spans="2:4" x14ac:dyDescent="0.3">
      <c r="B322" s="34"/>
      <c r="C322" s="29"/>
      <c r="D322" s="29"/>
    </row>
    <row r="323" spans="2:4" x14ac:dyDescent="0.3">
      <c r="B323" s="34"/>
      <c r="C323" s="29"/>
      <c r="D323" s="29"/>
    </row>
    <row r="324" spans="2:4" x14ac:dyDescent="0.3">
      <c r="B324" s="34"/>
      <c r="C324" s="29"/>
      <c r="D324" s="29"/>
    </row>
    <row r="325" spans="2:4" x14ac:dyDescent="0.3">
      <c r="B325" s="34"/>
      <c r="C325" s="29"/>
      <c r="D325" s="29"/>
    </row>
    <row r="326" spans="2:4" x14ac:dyDescent="0.3">
      <c r="B326" s="34"/>
      <c r="C326" s="29"/>
      <c r="D326" s="29"/>
    </row>
    <row r="327" spans="2:4" x14ac:dyDescent="0.3">
      <c r="B327" s="34"/>
      <c r="C327" s="29"/>
      <c r="D327" s="29"/>
    </row>
    <row r="328" spans="2:4" x14ac:dyDescent="0.3">
      <c r="B328" s="34"/>
      <c r="C328" s="29"/>
      <c r="D328" s="29"/>
    </row>
    <row r="329" spans="2:4" x14ac:dyDescent="0.3">
      <c r="B329" s="34"/>
      <c r="C329" s="29"/>
      <c r="D329" s="29"/>
    </row>
    <row r="330" spans="2:4" x14ac:dyDescent="0.3">
      <c r="B330" s="34"/>
      <c r="C330" s="29"/>
      <c r="D330" s="29"/>
    </row>
    <row r="331" spans="2:4" x14ac:dyDescent="0.3">
      <c r="B331" s="34"/>
      <c r="C331" s="29"/>
      <c r="D331" s="29"/>
    </row>
    <row r="332" spans="2:4" x14ac:dyDescent="0.3">
      <c r="B332" s="34"/>
      <c r="C332" s="29"/>
      <c r="D332" s="29"/>
    </row>
    <row r="333" spans="2:4" x14ac:dyDescent="0.3">
      <c r="B333" s="34"/>
      <c r="C333" s="29"/>
      <c r="D333" s="29"/>
    </row>
    <row r="334" spans="2:4" x14ac:dyDescent="0.3">
      <c r="B334" s="34"/>
      <c r="C334" s="29"/>
      <c r="D334" s="29"/>
    </row>
    <row r="335" spans="2:4" x14ac:dyDescent="0.3">
      <c r="B335" s="34"/>
      <c r="C335" s="29"/>
      <c r="D335" s="29"/>
    </row>
    <row r="336" spans="2:4" x14ac:dyDescent="0.3">
      <c r="B336" s="34"/>
      <c r="C336" s="29"/>
      <c r="D336" s="29"/>
    </row>
    <row r="337" spans="2:4" x14ac:dyDescent="0.3">
      <c r="B337" s="34"/>
      <c r="C337" s="29"/>
      <c r="D337" s="29"/>
    </row>
    <row r="338" spans="2:4" x14ac:dyDescent="0.3">
      <c r="B338" s="34"/>
      <c r="C338" s="29"/>
      <c r="D338" s="29"/>
    </row>
    <row r="339" spans="2:4" x14ac:dyDescent="0.3">
      <c r="B339" s="34"/>
      <c r="C339" s="29"/>
      <c r="D339" s="29"/>
    </row>
    <row r="340" spans="2:4" x14ac:dyDescent="0.3">
      <c r="B340" s="34"/>
      <c r="C340" s="29"/>
      <c r="D340" s="29"/>
    </row>
    <row r="341" spans="2:4" x14ac:dyDescent="0.3">
      <c r="B341" s="34"/>
      <c r="C341" s="29"/>
      <c r="D341" s="29"/>
    </row>
    <row r="342" spans="2:4" x14ac:dyDescent="0.3">
      <c r="B342" s="34"/>
      <c r="C342" s="29"/>
      <c r="D342" s="29"/>
    </row>
    <row r="343" spans="2:4" x14ac:dyDescent="0.3">
      <c r="B343" s="34"/>
      <c r="C343" s="29"/>
      <c r="D343" s="29"/>
    </row>
    <row r="344" spans="2:4" x14ac:dyDescent="0.3">
      <c r="B344" s="34"/>
      <c r="C344" s="29"/>
      <c r="D344" s="29"/>
    </row>
    <row r="345" spans="2:4" x14ac:dyDescent="0.3">
      <c r="B345" s="34"/>
      <c r="C345" s="29"/>
      <c r="D345" s="29"/>
    </row>
    <row r="346" spans="2:4" x14ac:dyDescent="0.3">
      <c r="B346" s="34"/>
      <c r="C346" s="29"/>
      <c r="D346" s="29"/>
    </row>
    <row r="347" spans="2:4" x14ac:dyDescent="0.3">
      <c r="B347" s="34"/>
      <c r="C347" s="29"/>
      <c r="D347" s="29"/>
    </row>
    <row r="348" spans="2:4" x14ac:dyDescent="0.3">
      <c r="B348" s="34"/>
      <c r="C348" s="29"/>
      <c r="D348" s="29"/>
    </row>
    <row r="349" spans="2:4" x14ac:dyDescent="0.3">
      <c r="B349" s="34"/>
      <c r="C349" s="29"/>
      <c r="D349" s="29"/>
    </row>
    <row r="350" spans="2:4" x14ac:dyDescent="0.3">
      <c r="B350" s="34"/>
      <c r="C350" s="29"/>
      <c r="D350" s="29"/>
    </row>
    <row r="351" spans="2:4" x14ac:dyDescent="0.3">
      <c r="B351" s="34"/>
      <c r="C351" s="29"/>
      <c r="D351" s="29"/>
    </row>
    <row r="352" spans="2:4" x14ac:dyDescent="0.3">
      <c r="B352" s="34"/>
      <c r="C352" s="29"/>
      <c r="D352" s="29"/>
    </row>
    <row r="353" spans="2:4" x14ac:dyDescent="0.3">
      <c r="B353" s="34"/>
      <c r="C353" s="29"/>
      <c r="D353" s="29"/>
    </row>
    <row r="354" spans="2:4" x14ac:dyDescent="0.3">
      <c r="B354" s="34"/>
      <c r="C354" s="29"/>
      <c r="D354" s="29"/>
    </row>
    <row r="355" spans="2:4" x14ac:dyDescent="0.3">
      <c r="B355" s="34"/>
      <c r="C355" s="29"/>
      <c r="D355" s="29"/>
    </row>
    <row r="356" spans="2:4" x14ac:dyDescent="0.3">
      <c r="B356" s="34"/>
      <c r="C356" s="29"/>
      <c r="D356" s="29"/>
    </row>
    <row r="357" spans="2:4" x14ac:dyDescent="0.3">
      <c r="B357" s="34"/>
      <c r="C357" s="29"/>
      <c r="D357" s="29"/>
    </row>
    <row r="358" spans="2:4" x14ac:dyDescent="0.3">
      <c r="B358" s="34"/>
      <c r="C358" s="29"/>
      <c r="D358" s="29"/>
    </row>
    <row r="359" spans="2:4" x14ac:dyDescent="0.3">
      <c r="B359" s="34"/>
      <c r="C359" s="29"/>
      <c r="D359" s="29"/>
    </row>
    <row r="360" spans="2:4" x14ac:dyDescent="0.3">
      <c r="B360" s="34"/>
      <c r="C360" s="29"/>
      <c r="D360" s="29"/>
    </row>
    <row r="361" spans="2:4" x14ac:dyDescent="0.3">
      <c r="B361" s="34"/>
      <c r="C361" s="29"/>
      <c r="D361" s="29"/>
    </row>
    <row r="362" spans="2:4" x14ac:dyDescent="0.3">
      <c r="B362" s="34"/>
      <c r="C362" s="29"/>
      <c r="D362" s="29"/>
    </row>
    <row r="363" spans="2:4" x14ac:dyDescent="0.3">
      <c r="B363" s="34"/>
      <c r="C363" s="29"/>
      <c r="D363" s="29"/>
    </row>
    <row r="364" spans="2:4" x14ac:dyDescent="0.3">
      <c r="B364" s="34"/>
      <c r="C364" s="29"/>
      <c r="D364" s="29"/>
    </row>
    <row r="365" spans="2:4" x14ac:dyDescent="0.3">
      <c r="B365" s="34"/>
      <c r="C365" s="29"/>
      <c r="D365" s="29"/>
    </row>
    <row r="366" spans="2:4" x14ac:dyDescent="0.3">
      <c r="B366" s="34"/>
      <c r="C366" s="29"/>
      <c r="D366" s="29"/>
    </row>
    <row r="367" spans="2:4" x14ac:dyDescent="0.3">
      <c r="B367" s="34"/>
      <c r="C367" s="29"/>
      <c r="D367" s="29"/>
    </row>
    <row r="368" spans="2:4" x14ac:dyDescent="0.3">
      <c r="B368" s="34"/>
      <c r="C368" s="29"/>
      <c r="D368" s="29"/>
    </row>
    <row r="369" spans="2:4" x14ac:dyDescent="0.3">
      <c r="B369" s="34"/>
      <c r="C369" s="29"/>
      <c r="D369" s="29"/>
    </row>
    <row r="370" spans="2:4" x14ac:dyDescent="0.3">
      <c r="B370" s="34"/>
      <c r="C370" s="29"/>
      <c r="D370" s="29"/>
    </row>
    <row r="371" spans="2:4" x14ac:dyDescent="0.3">
      <c r="B371" s="34"/>
      <c r="C371" s="29"/>
      <c r="D371" s="29"/>
    </row>
    <row r="372" spans="2:4" x14ac:dyDescent="0.3">
      <c r="B372" s="34"/>
      <c r="C372" s="29"/>
      <c r="D372" s="29"/>
    </row>
    <row r="373" spans="2:4" x14ac:dyDescent="0.3">
      <c r="B373" s="34"/>
      <c r="C373" s="29"/>
      <c r="D373" s="29"/>
    </row>
    <row r="374" spans="2:4" x14ac:dyDescent="0.3">
      <c r="B374" s="34"/>
      <c r="C374" s="29"/>
      <c r="D374" s="29"/>
    </row>
    <row r="375" spans="2:4" x14ac:dyDescent="0.3">
      <c r="B375" s="34"/>
      <c r="C375" s="29"/>
      <c r="D375" s="29"/>
    </row>
    <row r="376" spans="2:4" x14ac:dyDescent="0.3">
      <c r="B376" s="34"/>
      <c r="C376" s="29"/>
      <c r="D376" s="29"/>
    </row>
    <row r="377" spans="2:4" x14ac:dyDescent="0.3">
      <c r="B377" s="34"/>
      <c r="C377" s="29"/>
      <c r="D377" s="29"/>
    </row>
    <row r="378" spans="2:4" x14ac:dyDescent="0.3">
      <c r="B378" s="34"/>
      <c r="C378" s="29"/>
      <c r="D378" s="29"/>
    </row>
    <row r="379" spans="2:4" x14ac:dyDescent="0.3">
      <c r="B379" s="34"/>
      <c r="C379" s="29"/>
      <c r="D379" s="29"/>
    </row>
    <row r="380" spans="2:4" x14ac:dyDescent="0.3">
      <c r="B380" s="34"/>
      <c r="C380" s="29"/>
      <c r="D380" s="29"/>
    </row>
    <row r="381" spans="2:4" x14ac:dyDescent="0.3">
      <c r="B381" s="34"/>
      <c r="C381" s="29"/>
      <c r="D381" s="29"/>
    </row>
    <row r="382" spans="2:4" x14ac:dyDescent="0.3">
      <c r="B382" s="34"/>
      <c r="C382" s="29"/>
      <c r="D382" s="29"/>
    </row>
    <row r="383" spans="2:4" x14ac:dyDescent="0.3">
      <c r="B383" s="34"/>
      <c r="C383" s="29"/>
      <c r="D383" s="29"/>
    </row>
    <row r="384" spans="2:4" x14ac:dyDescent="0.3">
      <c r="B384" s="34"/>
      <c r="C384" s="29"/>
      <c r="D384" s="29"/>
    </row>
    <row r="385" spans="2:4" x14ac:dyDescent="0.3">
      <c r="B385" s="34"/>
      <c r="C385" s="29"/>
      <c r="D385" s="29"/>
    </row>
    <row r="386" spans="2:4" x14ac:dyDescent="0.3">
      <c r="B386" s="34"/>
      <c r="C386" s="29"/>
      <c r="D386" s="29"/>
    </row>
    <row r="387" spans="2:4" x14ac:dyDescent="0.3">
      <c r="B387" s="34"/>
      <c r="C387" s="29"/>
      <c r="D387" s="29"/>
    </row>
    <row r="388" spans="2:4" x14ac:dyDescent="0.3">
      <c r="B388" s="34"/>
      <c r="C388" s="29"/>
      <c r="D388" s="29"/>
    </row>
    <row r="389" spans="2:4" x14ac:dyDescent="0.3">
      <c r="B389" s="34"/>
      <c r="C389" s="29"/>
      <c r="D389" s="29"/>
    </row>
    <row r="390" spans="2:4" x14ac:dyDescent="0.3">
      <c r="B390" s="34"/>
      <c r="C390" s="29"/>
      <c r="D390" s="29"/>
    </row>
    <row r="391" spans="2:4" x14ac:dyDescent="0.3">
      <c r="B391" s="34"/>
      <c r="C391" s="29"/>
      <c r="D391" s="29"/>
    </row>
    <row r="392" spans="2:4" x14ac:dyDescent="0.3">
      <c r="B392" s="34"/>
      <c r="C392" s="29"/>
      <c r="D392" s="29"/>
    </row>
    <row r="393" spans="2:4" x14ac:dyDescent="0.3">
      <c r="B393" s="34"/>
      <c r="C393" s="29"/>
      <c r="D393" s="29"/>
    </row>
    <row r="394" spans="2:4" x14ac:dyDescent="0.3">
      <c r="B394" s="34"/>
      <c r="C394" s="29"/>
      <c r="D394" s="29"/>
    </row>
    <row r="395" spans="2:4" x14ac:dyDescent="0.3">
      <c r="B395" s="34"/>
      <c r="C395" s="29"/>
      <c r="D395" s="29"/>
    </row>
    <row r="396" spans="2:4" x14ac:dyDescent="0.3">
      <c r="B396" s="34"/>
      <c r="C396" s="29"/>
      <c r="D396" s="29"/>
    </row>
    <row r="397" spans="2:4" x14ac:dyDescent="0.3">
      <c r="B397" s="34"/>
      <c r="C397" s="29"/>
      <c r="D397" s="29"/>
    </row>
    <row r="398" spans="2:4" x14ac:dyDescent="0.3">
      <c r="B398" s="34"/>
      <c r="C398" s="29"/>
      <c r="D398" s="29"/>
    </row>
    <row r="399" spans="2:4" x14ac:dyDescent="0.3">
      <c r="B399" s="34"/>
      <c r="C399" s="29"/>
      <c r="D399" s="29"/>
    </row>
    <row r="400" spans="2:4" x14ac:dyDescent="0.3">
      <c r="B400" s="34"/>
      <c r="C400" s="29"/>
      <c r="D400" s="29"/>
    </row>
    <row r="401" spans="2:4" x14ac:dyDescent="0.3">
      <c r="B401" s="34"/>
      <c r="C401" s="29"/>
      <c r="D401" s="29"/>
    </row>
    <row r="402" spans="2:4" x14ac:dyDescent="0.3">
      <c r="B402" s="34"/>
      <c r="C402" s="29"/>
      <c r="D402" s="29"/>
    </row>
    <row r="403" spans="2:4" x14ac:dyDescent="0.3">
      <c r="B403" s="34"/>
      <c r="C403" s="29"/>
      <c r="D403" s="29"/>
    </row>
    <row r="404" spans="2:4" x14ac:dyDescent="0.3">
      <c r="B404" s="34"/>
      <c r="C404" s="29"/>
      <c r="D404" s="29"/>
    </row>
    <row r="405" spans="2:4" x14ac:dyDescent="0.3">
      <c r="B405" s="34"/>
      <c r="C405" s="29"/>
      <c r="D405" s="29"/>
    </row>
    <row r="406" spans="2:4" x14ac:dyDescent="0.3">
      <c r="B406" s="34"/>
      <c r="C406" s="29"/>
      <c r="D406" s="29"/>
    </row>
    <row r="407" spans="2:4" x14ac:dyDescent="0.3">
      <c r="B407" s="34"/>
      <c r="C407" s="29"/>
      <c r="D407" s="29"/>
    </row>
    <row r="408" spans="2:4" x14ac:dyDescent="0.3">
      <c r="B408" s="34"/>
      <c r="C408" s="29"/>
      <c r="D408" s="29"/>
    </row>
    <row r="409" spans="2:4" x14ac:dyDescent="0.3">
      <c r="B409" s="34"/>
      <c r="C409" s="29"/>
      <c r="D409" s="29"/>
    </row>
    <row r="410" spans="2:4" x14ac:dyDescent="0.3">
      <c r="B410" s="34"/>
      <c r="C410" s="29"/>
      <c r="D410" s="29"/>
    </row>
    <row r="411" spans="2:4" x14ac:dyDescent="0.3">
      <c r="B411" s="34"/>
      <c r="C411" s="29"/>
      <c r="D411" s="29"/>
    </row>
    <row r="412" spans="2:4" x14ac:dyDescent="0.3">
      <c r="B412" s="34"/>
      <c r="C412" s="29"/>
      <c r="D412" s="29"/>
    </row>
    <row r="413" spans="2:4" x14ac:dyDescent="0.3">
      <c r="B413" s="34"/>
      <c r="C413" s="29"/>
      <c r="D413" s="29"/>
    </row>
    <row r="414" spans="2:4" x14ac:dyDescent="0.3">
      <c r="B414" s="34"/>
      <c r="C414" s="29"/>
      <c r="D414" s="29"/>
    </row>
    <row r="415" spans="2:4" x14ac:dyDescent="0.3">
      <c r="B415" s="34"/>
      <c r="C415" s="29"/>
      <c r="D415" s="29"/>
    </row>
    <row r="416" spans="2:4" x14ac:dyDescent="0.3">
      <c r="B416" s="34"/>
      <c r="C416" s="29"/>
      <c r="D416" s="29"/>
    </row>
    <row r="417" spans="2:4" x14ac:dyDescent="0.3">
      <c r="B417" s="34"/>
      <c r="C417" s="29"/>
      <c r="D417" s="29"/>
    </row>
    <row r="418" spans="2:4" x14ac:dyDescent="0.3">
      <c r="B418" s="34"/>
      <c r="C418" s="29"/>
      <c r="D418" s="29"/>
    </row>
    <row r="419" spans="2:4" x14ac:dyDescent="0.3">
      <c r="B419" s="34"/>
      <c r="C419" s="29"/>
      <c r="D419" s="29"/>
    </row>
    <row r="420" spans="2:4" x14ac:dyDescent="0.3">
      <c r="B420" s="34"/>
      <c r="C420" s="29"/>
      <c r="D420" s="29"/>
    </row>
    <row r="421" spans="2:4" x14ac:dyDescent="0.3">
      <c r="B421" s="34"/>
      <c r="C421" s="29"/>
      <c r="D421" s="29"/>
    </row>
    <row r="422" spans="2:4" x14ac:dyDescent="0.3">
      <c r="B422" s="34"/>
      <c r="C422" s="29"/>
      <c r="D422" s="29"/>
    </row>
    <row r="423" spans="2:4" x14ac:dyDescent="0.3">
      <c r="B423" s="34"/>
      <c r="C423" s="29"/>
      <c r="D423" s="29"/>
    </row>
    <row r="424" spans="2:4" x14ac:dyDescent="0.3">
      <c r="B424" s="34"/>
      <c r="C424" s="29"/>
      <c r="D424" s="29"/>
    </row>
    <row r="425" spans="2:4" x14ac:dyDescent="0.3">
      <c r="B425" s="34"/>
      <c r="C425" s="29"/>
      <c r="D425" s="29"/>
    </row>
    <row r="426" spans="2:4" x14ac:dyDescent="0.3">
      <c r="B426" s="34"/>
      <c r="C426" s="29"/>
      <c r="D426" s="29"/>
    </row>
    <row r="427" spans="2:4" x14ac:dyDescent="0.3">
      <c r="B427" s="34"/>
      <c r="C427" s="29"/>
      <c r="D427" s="29"/>
    </row>
    <row r="428" spans="2:4" x14ac:dyDescent="0.3">
      <c r="B428" s="34"/>
      <c r="C428" s="29"/>
      <c r="D428" s="29"/>
    </row>
    <row r="429" spans="2:4" x14ac:dyDescent="0.3">
      <c r="B429" s="34"/>
      <c r="C429" s="29"/>
      <c r="D429" s="29"/>
    </row>
    <row r="430" spans="2:4" x14ac:dyDescent="0.3">
      <c r="B430" s="34"/>
      <c r="C430" s="29"/>
      <c r="D430" s="29"/>
    </row>
    <row r="431" spans="2:4" x14ac:dyDescent="0.3">
      <c r="B431" s="34"/>
      <c r="C431" s="29"/>
      <c r="D431" s="29"/>
    </row>
    <row r="432" spans="2:4" x14ac:dyDescent="0.3">
      <c r="B432" s="34"/>
      <c r="C432" s="29"/>
      <c r="D432" s="29"/>
    </row>
    <row r="433" spans="2:4" x14ac:dyDescent="0.3">
      <c r="B433" s="34"/>
      <c r="C433" s="29"/>
      <c r="D433" s="29"/>
    </row>
    <row r="434" spans="2:4" x14ac:dyDescent="0.3">
      <c r="B434" s="34"/>
      <c r="C434" s="29"/>
      <c r="D434" s="29"/>
    </row>
    <row r="435" spans="2:4" x14ac:dyDescent="0.3">
      <c r="B435" s="34"/>
      <c r="C435" s="29"/>
      <c r="D435" s="29"/>
    </row>
    <row r="436" spans="2:4" x14ac:dyDescent="0.3">
      <c r="B436" s="34"/>
      <c r="C436" s="29"/>
      <c r="D436" s="29"/>
    </row>
    <row r="437" spans="2:4" x14ac:dyDescent="0.3">
      <c r="B437" s="34"/>
      <c r="C437" s="29"/>
      <c r="D437" s="29"/>
    </row>
    <row r="438" spans="2:4" x14ac:dyDescent="0.3">
      <c r="B438" s="34"/>
      <c r="C438" s="29"/>
      <c r="D438" s="29"/>
    </row>
    <row r="439" spans="2:4" x14ac:dyDescent="0.3">
      <c r="B439" s="34"/>
      <c r="C439" s="29"/>
      <c r="D439" s="29"/>
    </row>
    <row r="440" spans="2:4" x14ac:dyDescent="0.3">
      <c r="B440" s="34"/>
      <c r="C440" s="29"/>
      <c r="D440" s="29"/>
    </row>
    <row r="441" spans="2:4" x14ac:dyDescent="0.3">
      <c r="B441" s="34"/>
      <c r="C441" s="29"/>
      <c r="D441" s="29"/>
    </row>
    <row r="442" spans="2:4" x14ac:dyDescent="0.3">
      <c r="B442" s="34"/>
      <c r="C442" s="29"/>
      <c r="D442" s="29"/>
    </row>
    <row r="443" spans="2:4" x14ac:dyDescent="0.3">
      <c r="B443" s="34"/>
      <c r="C443" s="29"/>
      <c r="D443" s="29"/>
    </row>
    <row r="444" spans="2:4" x14ac:dyDescent="0.3">
      <c r="B444" s="34"/>
      <c r="C444" s="29"/>
      <c r="D444" s="29"/>
    </row>
    <row r="445" spans="2:4" x14ac:dyDescent="0.3">
      <c r="B445" s="34"/>
      <c r="C445" s="29"/>
      <c r="D445" s="29"/>
    </row>
    <row r="446" spans="2:4" x14ac:dyDescent="0.3">
      <c r="B446" s="34"/>
      <c r="C446" s="29"/>
      <c r="D446" s="29"/>
    </row>
    <row r="447" spans="2:4" x14ac:dyDescent="0.3">
      <c r="B447" s="34"/>
      <c r="C447" s="29"/>
      <c r="D447" s="29"/>
    </row>
    <row r="448" spans="2:4" x14ac:dyDescent="0.3">
      <c r="B448" s="34"/>
      <c r="C448" s="29"/>
      <c r="D448" s="29"/>
    </row>
    <row r="449" spans="2:4" x14ac:dyDescent="0.3">
      <c r="B449" s="34"/>
      <c r="C449" s="29"/>
      <c r="D449" s="29"/>
    </row>
    <row r="450" spans="2:4" x14ac:dyDescent="0.3">
      <c r="B450" s="34"/>
      <c r="C450" s="29"/>
      <c r="D450" s="29"/>
    </row>
    <row r="451" spans="2:4" x14ac:dyDescent="0.3">
      <c r="B451" s="34"/>
      <c r="C451" s="29"/>
      <c r="D451" s="29"/>
    </row>
    <row r="452" spans="2:4" x14ac:dyDescent="0.3">
      <c r="B452" s="34"/>
      <c r="C452" s="29"/>
      <c r="D452" s="29"/>
    </row>
    <row r="453" spans="2:4" x14ac:dyDescent="0.3">
      <c r="B453" s="34"/>
      <c r="C453" s="29"/>
      <c r="D453" s="29"/>
    </row>
    <row r="454" spans="2:4" x14ac:dyDescent="0.3">
      <c r="B454" s="34"/>
      <c r="C454" s="29"/>
      <c r="D454" s="29"/>
    </row>
    <row r="455" spans="2:4" x14ac:dyDescent="0.3">
      <c r="B455" s="34"/>
      <c r="C455" s="29"/>
      <c r="D455" s="29"/>
    </row>
    <row r="456" spans="2:4" x14ac:dyDescent="0.3">
      <c r="B456" s="34"/>
      <c r="C456" s="29"/>
      <c r="D456" s="29"/>
    </row>
    <row r="457" spans="2:4" x14ac:dyDescent="0.3">
      <c r="B457" s="34"/>
      <c r="C457" s="29"/>
      <c r="D457" s="29"/>
    </row>
    <row r="458" spans="2:4" x14ac:dyDescent="0.3">
      <c r="B458" s="34"/>
      <c r="C458" s="29"/>
      <c r="D458" s="29"/>
    </row>
    <row r="459" spans="2:4" x14ac:dyDescent="0.3">
      <c r="B459" s="34"/>
      <c r="C459" s="29"/>
      <c r="D459" s="29"/>
    </row>
    <row r="460" spans="2:4" x14ac:dyDescent="0.3">
      <c r="B460" s="34"/>
      <c r="C460" s="29"/>
      <c r="D460" s="29"/>
    </row>
    <row r="461" spans="2:4" x14ac:dyDescent="0.3">
      <c r="B461" s="34"/>
      <c r="C461" s="29"/>
      <c r="D461" s="29"/>
    </row>
    <row r="462" spans="2:4" x14ac:dyDescent="0.3">
      <c r="B462" s="34"/>
      <c r="C462" s="29"/>
      <c r="D462" s="29"/>
    </row>
    <row r="463" spans="2:4" x14ac:dyDescent="0.3">
      <c r="B463" s="34"/>
      <c r="C463" s="29"/>
      <c r="D463" s="29"/>
    </row>
    <row r="464" spans="2:4" x14ac:dyDescent="0.3">
      <c r="B464" s="34"/>
      <c r="C464" s="29"/>
      <c r="D464" s="29"/>
    </row>
    <row r="465" spans="2:4" x14ac:dyDescent="0.3">
      <c r="B465" s="34"/>
      <c r="C465" s="29"/>
      <c r="D465" s="29"/>
    </row>
    <row r="466" spans="2:4" x14ac:dyDescent="0.3">
      <c r="B466" s="34"/>
      <c r="C466" s="29"/>
      <c r="D466" s="29"/>
    </row>
    <row r="467" spans="2:4" x14ac:dyDescent="0.3">
      <c r="B467" s="34"/>
      <c r="C467" s="29"/>
      <c r="D467" s="29"/>
    </row>
    <row r="468" spans="2:4" x14ac:dyDescent="0.3">
      <c r="B468" s="34"/>
      <c r="C468" s="29"/>
      <c r="D468" s="29"/>
    </row>
    <row r="469" spans="2:4" x14ac:dyDescent="0.3">
      <c r="B469" s="34"/>
      <c r="C469" s="29"/>
      <c r="D469" s="29"/>
    </row>
    <row r="470" spans="2:4" x14ac:dyDescent="0.3">
      <c r="B470" s="34"/>
      <c r="C470" s="29"/>
      <c r="D470" s="29"/>
    </row>
    <row r="471" spans="2:4" x14ac:dyDescent="0.3">
      <c r="B471" s="34"/>
      <c r="C471" s="29"/>
      <c r="D471" s="29"/>
    </row>
    <row r="472" spans="2:4" x14ac:dyDescent="0.3">
      <c r="B472" s="34"/>
      <c r="C472" s="29"/>
      <c r="D472" s="29"/>
    </row>
    <row r="473" spans="2:4" x14ac:dyDescent="0.3">
      <c r="B473" s="34"/>
      <c r="C473" s="29"/>
      <c r="D473" s="29"/>
    </row>
    <row r="474" spans="2:4" x14ac:dyDescent="0.3">
      <c r="B474" s="34"/>
      <c r="C474" s="29"/>
      <c r="D474" s="29"/>
    </row>
    <row r="475" spans="2:4" x14ac:dyDescent="0.3">
      <c r="B475" s="34"/>
      <c r="C475" s="29"/>
      <c r="D475" s="29"/>
    </row>
    <row r="476" spans="2:4" x14ac:dyDescent="0.3">
      <c r="B476" s="34"/>
      <c r="C476" s="29"/>
      <c r="D476" s="29"/>
    </row>
    <row r="477" spans="2:4" x14ac:dyDescent="0.3">
      <c r="B477" s="34"/>
      <c r="C477" s="29"/>
      <c r="D477" s="29"/>
    </row>
    <row r="478" spans="2:4" x14ac:dyDescent="0.3">
      <c r="B478" s="34"/>
      <c r="C478" s="29"/>
      <c r="D478" s="29"/>
    </row>
    <row r="479" spans="2:4" x14ac:dyDescent="0.3">
      <c r="B479" s="34"/>
      <c r="C479" s="29"/>
      <c r="D479" s="29"/>
    </row>
    <row r="480" spans="2:4" x14ac:dyDescent="0.3">
      <c r="B480" s="34"/>
      <c r="C480" s="29"/>
      <c r="D480" s="29"/>
    </row>
    <row r="481" spans="2:4" x14ac:dyDescent="0.3">
      <c r="B481" s="34"/>
      <c r="C481" s="29"/>
      <c r="D481" s="29"/>
    </row>
    <row r="482" spans="2:4" x14ac:dyDescent="0.3">
      <c r="B482" s="34"/>
      <c r="C482" s="29"/>
      <c r="D482" s="29"/>
    </row>
    <row r="483" spans="2:4" x14ac:dyDescent="0.3">
      <c r="B483" s="34"/>
      <c r="C483" s="29"/>
      <c r="D483" s="29"/>
    </row>
    <row r="484" spans="2:4" x14ac:dyDescent="0.3">
      <c r="B484" s="34"/>
      <c r="C484" s="29"/>
      <c r="D484" s="29"/>
    </row>
    <row r="485" spans="2:4" x14ac:dyDescent="0.3">
      <c r="B485" s="34"/>
      <c r="C485" s="29"/>
      <c r="D485" s="29"/>
    </row>
    <row r="486" spans="2:4" x14ac:dyDescent="0.3">
      <c r="B486" s="34"/>
      <c r="C486" s="29"/>
      <c r="D486" s="29"/>
    </row>
    <row r="487" spans="2:4" x14ac:dyDescent="0.3">
      <c r="B487" s="34"/>
      <c r="C487" s="29"/>
      <c r="D487" s="29"/>
    </row>
    <row r="488" spans="2:4" x14ac:dyDescent="0.3">
      <c r="B488" s="34"/>
      <c r="C488" s="29"/>
      <c r="D488" s="29"/>
    </row>
    <row r="489" spans="2:4" x14ac:dyDescent="0.3">
      <c r="B489" s="34"/>
      <c r="C489" s="29"/>
      <c r="D489" s="29"/>
    </row>
    <row r="490" spans="2:4" x14ac:dyDescent="0.3">
      <c r="B490" s="34"/>
      <c r="C490" s="29"/>
      <c r="D490" s="29"/>
    </row>
    <row r="491" spans="2:4" x14ac:dyDescent="0.3">
      <c r="B491" s="34"/>
      <c r="C491" s="29"/>
      <c r="D491" s="29"/>
    </row>
    <row r="492" spans="2:4" x14ac:dyDescent="0.3">
      <c r="B492" s="34"/>
      <c r="C492" s="29"/>
      <c r="D492" s="29"/>
    </row>
    <row r="493" spans="2:4" x14ac:dyDescent="0.3">
      <c r="B493" s="34"/>
      <c r="C493" s="29"/>
      <c r="D493" s="29"/>
    </row>
    <row r="494" spans="2:4" x14ac:dyDescent="0.3">
      <c r="B494" s="34"/>
      <c r="C494" s="29"/>
      <c r="D494" s="29"/>
    </row>
    <row r="495" spans="2:4" x14ac:dyDescent="0.3">
      <c r="B495" s="34"/>
      <c r="C495" s="29"/>
      <c r="D495" s="29"/>
    </row>
    <row r="496" spans="2:4" x14ac:dyDescent="0.3">
      <c r="B496" s="34"/>
      <c r="C496" s="29"/>
      <c r="D496" s="29"/>
    </row>
    <row r="497" spans="2:4" x14ac:dyDescent="0.3">
      <c r="B497" s="34"/>
      <c r="C497" s="29"/>
      <c r="D497" s="29"/>
    </row>
    <row r="498" spans="2:4" x14ac:dyDescent="0.3">
      <c r="B498" s="34"/>
      <c r="C498" s="29"/>
      <c r="D498" s="29"/>
    </row>
    <row r="499" spans="2:4" x14ac:dyDescent="0.3">
      <c r="B499" s="34"/>
      <c r="C499" s="29"/>
      <c r="D499" s="29"/>
    </row>
    <row r="500" spans="2:4" x14ac:dyDescent="0.3">
      <c r="B500" s="34"/>
      <c r="C500" s="29"/>
      <c r="D500" s="29"/>
    </row>
    <row r="501" spans="2:4" x14ac:dyDescent="0.3">
      <c r="B501" s="34"/>
      <c r="C501" s="29"/>
      <c r="D501" s="29"/>
    </row>
    <row r="502" spans="2:4" x14ac:dyDescent="0.3">
      <c r="B502" s="34"/>
      <c r="C502" s="29"/>
      <c r="D502" s="29"/>
    </row>
    <row r="503" spans="2:4" x14ac:dyDescent="0.3">
      <c r="B503" s="34"/>
      <c r="C503" s="29"/>
      <c r="D503" s="29"/>
    </row>
    <row r="504" spans="2:4" x14ac:dyDescent="0.3">
      <c r="B504" s="34"/>
      <c r="C504" s="29"/>
      <c r="D504" s="29"/>
    </row>
    <row r="505" spans="2:4" x14ac:dyDescent="0.3">
      <c r="B505" s="34"/>
      <c r="C505" s="29"/>
      <c r="D505" s="29"/>
    </row>
    <row r="506" spans="2:4" x14ac:dyDescent="0.3">
      <c r="B506" s="34"/>
      <c r="C506" s="29"/>
      <c r="D506" s="29"/>
    </row>
    <row r="507" spans="2:4" x14ac:dyDescent="0.3">
      <c r="B507" s="34"/>
      <c r="C507" s="29"/>
      <c r="D507" s="29"/>
    </row>
    <row r="508" spans="2:4" x14ac:dyDescent="0.3">
      <c r="B508" s="34"/>
      <c r="C508" s="29"/>
      <c r="D508" s="29"/>
    </row>
    <row r="509" spans="2:4" x14ac:dyDescent="0.3">
      <c r="B509" s="34"/>
      <c r="C509" s="29"/>
      <c r="D509" s="29"/>
    </row>
    <row r="510" spans="2:4" x14ac:dyDescent="0.3">
      <c r="B510" s="34"/>
      <c r="C510" s="29"/>
      <c r="D510" s="29"/>
    </row>
    <row r="511" spans="2:4" x14ac:dyDescent="0.3">
      <c r="B511" s="34"/>
      <c r="C511" s="29"/>
      <c r="D511" s="29"/>
    </row>
    <row r="512" spans="2:4" x14ac:dyDescent="0.3">
      <c r="B512" s="34"/>
      <c r="C512" s="29"/>
      <c r="D512" s="29"/>
    </row>
    <row r="513" spans="2:4" x14ac:dyDescent="0.3">
      <c r="B513" s="34"/>
      <c r="C513" s="29"/>
      <c r="D513" s="29"/>
    </row>
    <row r="514" spans="2:4" x14ac:dyDescent="0.3">
      <c r="B514" s="34"/>
      <c r="C514" s="29"/>
      <c r="D514" s="29"/>
    </row>
    <row r="515" spans="2:4" x14ac:dyDescent="0.3">
      <c r="B515" s="34"/>
      <c r="C515" s="29"/>
      <c r="D515" s="29"/>
    </row>
    <row r="516" spans="2:4" x14ac:dyDescent="0.3">
      <c r="B516" s="34"/>
      <c r="C516" s="29"/>
      <c r="D516" s="29"/>
    </row>
    <row r="517" spans="2:4" x14ac:dyDescent="0.3">
      <c r="B517" s="34"/>
      <c r="C517" s="29"/>
      <c r="D517" s="29"/>
    </row>
    <row r="518" spans="2:4" x14ac:dyDescent="0.3">
      <c r="B518" s="34"/>
      <c r="C518" s="29"/>
      <c r="D518" s="29"/>
    </row>
    <row r="519" spans="2:4" x14ac:dyDescent="0.3">
      <c r="B519" s="34"/>
      <c r="C519" s="29"/>
      <c r="D519" s="29"/>
    </row>
    <row r="520" spans="2:4" x14ac:dyDescent="0.3">
      <c r="B520" s="34"/>
      <c r="C520" s="29"/>
      <c r="D520" s="29"/>
    </row>
    <row r="521" spans="2:4" x14ac:dyDescent="0.3">
      <c r="B521" s="34"/>
      <c r="C521" s="29"/>
      <c r="D521" s="29"/>
    </row>
    <row r="522" spans="2:4" x14ac:dyDescent="0.3">
      <c r="B522" s="34"/>
      <c r="C522" s="29"/>
      <c r="D522" s="29"/>
    </row>
    <row r="523" spans="2:4" x14ac:dyDescent="0.3">
      <c r="B523" s="34"/>
      <c r="C523" s="29"/>
      <c r="D523" s="29"/>
    </row>
    <row r="524" spans="2:4" x14ac:dyDescent="0.3">
      <c r="B524" s="34"/>
      <c r="C524" s="29"/>
      <c r="D524" s="29"/>
    </row>
    <row r="525" spans="2:4" x14ac:dyDescent="0.3">
      <c r="B525" s="34"/>
      <c r="C525" s="29"/>
      <c r="D525" s="29"/>
    </row>
    <row r="526" spans="2:4" x14ac:dyDescent="0.3">
      <c r="B526" s="34"/>
      <c r="C526" s="29"/>
      <c r="D526" s="29"/>
    </row>
    <row r="527" spans="2:4" x14ac:dyDescent="0.3">
      <c r="B527" s="34"/>
      <c r="C527" s="29"/>
      <c r="D527" s="29"/>
    </row>
    <row r="528" spans="2:4" x14ac:dyDescent="0.3">
      <c r="B528" s="34"/>
      <c r="C528" s="29"/>
      <c r="D528" s="29"/>
    </row>
    <row r="529" spans="2:4" x14ac:dyDescent="0.3">
      <c r="B529" s="34"/>
      <c r="C529" s="29"/>
      <c r="D529" s="29"/>
    </row>
    <row r="530" spans="2:4" x14ac:dyDescent="0.3">
      <c r="B530" s="34"/>
      <c r="C530" s="29"/>
      <c r="D530" s="29"/>
    </row>
    <row r="531" spans="2:4" x14ac:dyDescent="0.3">
      <c r="B531" s="34"/>
      <c r="C531" s="29"/>
      <c r="D531" s="29"/>
    </row>
    <row r="532" spans="2:4" x14ac:dyDescent="0.3">
      <c r="B532" s="34"/>
      <c r="C532" s="29"/>
      <c r="D532" s="29"/>
    </row>
    <row r="533" spans="2:4" x14ac:dyDescent="0.3">
      <c r="B533" s="34"/>
      <c r="C533" s="29"/>
      <c r="D533" s="29"/>
    </row>
    <row r="534" spans="2:4" x14ac:dyDescent="0.3">
      <c r="B534" s="34"/>
      <c r="C534" s="29"/>
      <c r="D534" s="29"/>
    </row>
    <row r="535" spans="2:4" x14ac:dyDescent="0.3">
      <c r="B535" s="34"/>
      <c r="C535" s="29"/>
      <c r="D535" s="29"/>
    </row>
    <row r="536" spans="2:4" x14ac:dyDescent="0.3">
      <c r="B536" s="34"/>
      <c r="C536" s="29"/>
      <c r="D536" s="29"/>
    </row>
    <row r="537" spans="2:4" x14ac:dyDescent="0.3">
      <c r="B537" s="34"/>
      <c r="C537" s="29"/>
      <c r="D537" s="29"/>
    </row>
    <row r="538" spans="2:4" x14ac:dyDescent="0.3">
      <c r="B538" s="34"/>
      <c r="C538" s="29"/>
      <c r="D538" s="29"/>
    </row>
    <row r="539" spans="2:4" x14ac:dyDescent="0.3">
      <c r="B539" s="34"/>
      <c r="C539" s="29"/>
      <c r="D539" s="29"/>
    </row>
    <row r="540" spans="2:4" x14ac:dyDescent="0.3">
      <c r="B540" s="34"/>
      <c r="C540" s="29"/>
      <c r="D540" s="29"/>
    </row>
    <row r="541" spans="2:4" x14ac:dyDescent="0.3">
      <c r="B541" s="34"/>
      <c r="C541" s="29"/>
      <c r="D541" s="29"/>
    </row>
    <row r="542" spans="2:4" x14ac:dyDescent="0.3">
      <c r="B542" s="34"/>
      <c r="C542" s="29"/>
      <c r="D542" s="29"/>
    </row>
    <row r="543" spans="2:4" x14ac:dyDescent="0.3">
      <c r="B543" s="34"/>
      <c r="C543" s="29"/>
      <c r="D543" s="29"/>
    </row>
    <row r="544" spans="2:4" x14ac:dyDescent="0.3">
      <c r="B544" s="34"/>
      <c r="C544" s="29"/>
      <c r="D544" s="29"/>
    </row>
    <row r="545" spans="2:4" x14ac:dyDescent="0.3">
      <c r="B545" s="34"/>
      <c r="C545" s="29"/>
      <c r="D545" s="29"/>
    </row>
    <row r="546" spans="2:4" x14ac:dyDescent="0.3">
      <c r="B546" s="34"/>
      <c r="C546" s="29"/>
      <c r="D546" s="29"/>
    </row>
    <row r="547" spans="2:4" x14ac:dyDescent="0.3">
      <c r="B547" s="34"/>
      <c r="C547" s="29"/>
      <c r="D547" s="29"/>
    </row>
    <row r="548" spans="2:4" x14ac:dyDescent="0.3">
      <c r="B548" s="34"/>
      <c r="C548" s="29"/>
      <c r="D548" s="29"/>
    </row>
    <row r="549" spans="2:4" x14ac:dyDescent="0.3">
      <c r="B549" s="34"/>
      <c r="C549" s="29"/>
      <c r="D549" s="29"/>
    </row>
    <row r="550" spans="2:4" x14ac:dyDescent="0.3">
      <c r="B550" s="34"/>
      <c r="C550" s="29"/>
      <c r="D550" s="29"/>
    </row>
    <row r="551" spans="2:4" x14ac:dyDescent="0.3">
      <c r="B551" s="34"/>
      <c r="C551" s="29"/>
      <c r="D551" s="29"/>
    </row>
    <row r="552" spans="2:4" x14ac:dyDescent="0.3">
      <c r="B552" s="34"/>
      <c r="C552" s="29"/>
      <c r="D552" s="29"/>
    </row>
    <row r="553" spans="2:4" x14ac:dyDescent="0.3">
      <c r="B553" s="34"/>
      <c r="C553" s="29"/>
      <c r="D553" s="29"/>
    </row>
    <row r="554" spans="2:4" x14ac:dyDescent="0.3">
      <c r="B554" s="34"/>
      <c r="C554" s="29"/>
      <c r="D554" s="29"/>
    </row>
    <row r="555" spans="2:4" x14ac:dyDescent="0.3">
      <c r="B555" s="34"/>
      <c r="C555" s="29"/>
      <c r="D555" s="29"/>
    </row>
    <row r="556" spans="2:4" x14ac:dyDescent="0.3">
      <c r="B556" s="34"/>
      <c r="C556" s="29"/>
      <c r="D556" s="29"/>
    </row>
    <row r="557" spans="2:4" x14ac:dyDescent="0.3">
      <c r="B557" s="34"/>
      <c r="C557" s="29"/>
      <c r="D557" s="29"/>
    </row>
    <row r="558" spans="2:4" x14ac:dyDescent="0.3">
      <c r="B558" s="34"/>
      <c r="C558" s="29"/>
      <c r="D558" s="29"/>
    </row>
    <row r="559" spans="2:4" x14ac:dyDescent="0.3">
      <c r="B559" s="34"/>
      <c r="C559" s="29"/>
      <c r="D559" s="29"/>
    </row>
    <row r="560" spans="2:4" x14ac:dyDescent="0.3">
      <c r="B560" s="34"/>
      <c r="C560" s="29"/>
      <c r="D560" s="29"/>
    </row>
    <row r="561" spans="2:4" x14ac:dyDescent="0.3">
      <c r="B561" s="34"/>
      <c r="C561" s="29"/>
      <c r="D561" s="29"/>
    </row>
    <row r="562" spans="2:4" x14ac:dyDescent="0.3">
      <c r="B562" s="34"/>
      <c r="C562" s="29"/>
      <c r="D562" s="29"/>
    </row>
    <row r="563" spans="2:4" x14ac:dyDescent="0.3">
      <c r="B563" s="34"/>
      <c r="C563" s="29"/>
      <c r="D563" s="29"/>
    </row>
    <row r="564" spans="2:4" x14ac:dyDescent="0.3">
      <c r="B564" s="34"/>
      <c r="C564" s="29"/>
      <c r="D564" s="29"/>
    </row>
    <row r="565" spans="2:4" x14ac:dyDescent="0.3">
      <c r="B565" s="34"/>
      <c r="C565" s="29"/>
      <c r="D565" s="29"/>
    </row>
    <row r="566" spans="2:4" x14ac:dyDescent="0.3">
      <c r="B566" s="34"/>
      <c r="C566" s="29"/>
      <c r="D566" s="29"/>
    </row>
    <row r="567" spans="2:4" x14ac:dyDescent="0.3">
      <c r="B567" s="34"/>
      <c r="C567" s="29"/>
      <c r="D567" s="29"/>
    </row>
    <row r="568" spans="2:4" x14ac:dyDescent="0.3">
      <c r="B568" s="34"/>
      <c r="C568" s="29"/>
      <c r="D568" s="29"/>
    </row>
    <row r="569" spans="2:4" x14ac:dyDescent="0.3">
      <c r="B569" s="34"/>
      <c r="C569" s="29"/>
      <c r="D569" s="29"/>
    </row>
    <row r="570" spans="2:4" x14ac:dyDescent="0.3">
      <c r="B570" s="34"/>
      <c r="C570" s="29"/>
      <c r="D570" s="29"/>
    </row>
    <row r="571" spans="2:4" x14ac:dyDescent="0.3">
      <c r="B571" s="34"/>
      <c r="C571" s="29"/>
      <c r="D571" s="29"/>
    </row>
    <row r="572" spans="2:4" x14ac:dyDescent="0.3">
      <c r="B572" s="34"/>
      <c r="C572" s="29"/>
      <c r="D572" s="29"/>
    </row>
    <row r="573" spans="2:4" x14ac:dyDescent="0.3">
      <c r="B573" s="34"/>
      <c r="C573" s="29"/>
      <c r="D573" s="29"/>
    </row>
    <row r="574" spans="2:4" x14ac:dyDescent="0.3">
      <c r="B574" s="34"/>
      <c r="C574" s="29"/>
      <c r="D574" s="29"/>
    </row>
    <row r="575" spans="2:4" x14ac:dyDescent="0.3">
      <c r="B575" s="34"/>
      <c r="C575" s="29"/>
      <c r="D575" s="29"/>
    </row>
    <row r="576" spans="2:4" x14ac:dyDescent="0.3">
      <c r="B576" s="34"/>
      <c r="C576" s="29"/>
      <c r="D576" s="29"/>
    </row>
    <row r="577" spans="2:4" x14ac:dyDescent="0.3">
      <c r="B577" s="34"/>
      <c r="C577" s="29"/>
      <c r="D577" s="29"/>
    </row>
    <row r="578" spans="2:4" x14ac:dyDescent="0.3">
      <c r="B578" s="34"/>
      <c r="C578" s="29"/>
      <c r="D578" s="29"/>
    </row>
    <row r="579" spans="2:4" x14ac:dyDescent="0.3">
      <c r="B579" s="34"/>
      <c r="C579" s="29"/>
      <c r="D579" s="29"/>
    </row>
    <row r="580" spans="2:4" x14ac:dyDescent="0.3">
      <c r="B580" s="34"/>
      <c r="C580" s="29"/>
      <c r="D580" s="29"/>
    </row>
    <row r="581" spans="2:4" x14ac:dyDescent="0.3">
      <c r="B581" s="34"/>
      <c r="C581" s="29"/>
      <c r="D581" s="29"/>
    </row>
    <row r="582" spans="2:4" x14ac:dyDescent="0.3">
      <c r="B582" s="34"/>
      <c r="C582" s="29"/>
      <c r="D582" s="29"/>
    </row>
    <row r="583" spans="2:4" x14ac:dyDescent="0.3">
      <c r="B583" s="34"/>
      <c r="C583" s="29"/>
      <c r="D583" s="29"/>
    </row>
    <row r="584" spans="2:4" x14ac:dyDescent="0.3">
      <c r="B584" s="34"/>
      <c r="C584" s="29"/>
      <c r="D584" s="29"/>
    </row>
    <row r="585" spans="2:4" x14ac:dyDescent="0.3">
      <c r="B585" s="34"/>
      <c r="C585" s="29"/>
      <c r="D585" s="29"/>
    </row>
    <row r="586" spans="2:4" x14ac:dyDescent="0.3">
      <c r="B586" s="34"/>
      <c r="C586" s="29"/>
      <c r="D586" s="29"/>
    </row>
    <row r="587" spans="2:4" x14ac:dyDescent="0.3">
      <c r="B587" s="34"/>
      <c r="C587" s="29"/>
      <c r="D587" s="29"/>
    </row>
    <row r="588" spans="2:4" x14ac:dyDescent="0.3">
      <c r="B588" s="34"/>
      <c r="C588" s="29"/>
      <c r="D588" s="29"/>
    </row>
    <row r="589" spans="2:4" x14ac:dyDescent="0.3">
      <c r="B589" s="34"/>
      <c r="C589" s="29"/>
      <c r="D589" s="29"/>
    </row>
    <row r="590" spans="2:4" x14ac:dyDescent="0.3">
      <c r="B590" s="34"/>
      <c r="C590" s="29"/>
      <c r="D590" s="29"/>
    </row>
    <row r="591" spans="2:4" x14ac:dyDescent="0.3">
      <c r="B591" s="34"/>
      <c r="C591" s="29"/>
      <c r="D591" s="29"/>
    </row>
    <row r="592" spans="2:4" x14ac:dyDescent="0.3">
      <c r="B592" s="34"/>
      <c r="C592" s="29"/>
      <c r="D592" s="29"/>
    </row>
    <row r="593" spans="2:4" x14ac:dyDescent="0.3">
      <c r="B593" s="34"/>
      <c r="C593" s="29"/>
      <c r="D593" s="29"/>
    </row>
    <row r="594" spans="2:4" x14ac:dyDescent="0.3">
      <c r="B594" s="34"/>
      <c r="C594" s="29"/>
      <c r="D594" s="29"/>
    </row>
    <row r="595" spans="2:4" x14ac:dyDescent="0.3">
      <c r="B595" s="34"/>
      <c r="C595" s="29"/>
      <c r="D595" s="29"/>
    </row>
    <row r="596" spans="2:4" x14ac:dyDescent="0.3">
      <c r="B596" s="34"/>
      <c r="C596" s="29"/>
      <c r="D596" s="29"/>
    </row>
    <row r="597" spans="2:4" x14ac:dyDescent="0.3">
      <c r="B597" s="34"/>
      <c r="C597" s="29"/>
      <c r="D597" s="29"/>
    </row>
    <row r="598" spans="2:4" x14ac:dyDescent="0.3">
      <c r="B598" s="34"/>
      <c r="C598" s="29"/>
      <c r="D598" s="29"/>
    </row>
    <row r="599" spans="2:4" x14ac:dyDescent="0.3">
      <c r="B599" s="34"/>
      <c r="C599" s="29"/>
      <c r="D599" s="29"/>
    </row>
    <row r="600" spans="2:4" x14ac:dyDescent="0.3">
      <c r="B600" s="34"/>
      <c r="C600" s="29"/>
      <c r="D600" s="29"/>
    </row>
    <row r="601" spans="2:4" x14ac:dyDescent="0.3">
      <c r="B601" s="34"/>
      <c r="C601" s="29"/>
      <c r="D601" s="29"/>
    </row>
    <row r="602" spans="2:4" x14ac:dyDescent="0.3">
      <c r="B602" s="34"/>
      <c r="C602" s="29"/>
      <c r="D602" s="29"/>
    </row>
    <row r="603" spans="2:4" x14ac:dyDescent="0.3">
      <c r="B603" s="34"/>
      <c r="C603" s="29"/>
      <c r="D603" s="29"/>
    </row>
    <row r="604" spans="2:4" x14ac:dyDescent="0.3">
      <c r="B604" s="34"/>
      <c r="C604" s="29"/>
      <c r="D604" s="29"/>
    </row>
    <row r="605" spans="2:4" x14ac:dyDescent="0.3">
      <c r="B605" s="34"/>
      <c r="C605" s="29"/>
      <c r="D605" s="29"/>
    </row>
    <row r="606" spans="2:4" x14ac:dyDescent="0.3">
      <c r="B606" s="34"/>
      <c r="C606" s="29"/>
      <c r="D606" s="29"/>
    </row>
    <row r="607" spans="2:4" x14ac:dyDescent="0.3">
      <c r="B607" s="34"/>
      <c r="C607" s="29"/>
      <c r="D607" s="29"/>
    </row>
    <row r="608" spans="2:4" x14ac:dyDescent="0.3">
      <c r="B608" s="34"/>
      <c r="C608" s="29"/>
      <c r="D608" s="29"/>
    </row>
    <row r="609" spans="2:4" x14ac:dyDescent="0.3">
      <c r="B609" s="34"/>
      <c r="C609" s="29"/>
      <c r="D609" s="29"/>
    </row>
    <row r="610" spans="2:4" x14ac:dyDescent="0.3">
      <c r="B610" s="34"/>
      <c r="C610" s="29"/>
      <c r="D610" s="29"/>
    </row>
    <row r="611" spans="2:4" x14ac:dyDescent="0.3">
      <c r="B611" s="34"/>
      <c r="C611" s="29"/>
      <c r="D611" s="29"/>
    </row>
    <row r="612" spans="2:4" x14ac:dyDescent="0.3">
      <c r="B612" s="34"/>
      <c r="C612" s="29"/>
      <c r="D612" s="29"/>
    </row>
    <row r="613" spans="2:4" x14ac:dyDescent="0.3">
      <c r="B613" s="34"/>
      <c r="C613" s="29"/>
      <c r="D613" s="29"/>
    </row>
    <row r="614" spans="2:4" x14ac:dyDescent="0.3">
      <c r="B614" s="34"/>
      <c r="C614" s="29"/>
      <c r="D614" s="29"/>
    </row>
    <row r="615" spans="2:4" x14ac:dyDescent="0.3">
      <c r="B615" s="34"/>
      <c r="C615" s="29"/>
      <c r="D615" s="29"/>
    </row>
    <row r="616" spans="2:4" x14ac:dyDescent="0.3">
      <c r="B616" s="34"/>
      <c r="C616" s="29"/>
      <c r="D616" s="29"/>
    </row>
    <row r="617" spans="2:4" x14ac:dyDescent="0.3">
      <c r="B617" s="34"/>
      <c r="C617" s="29"/>
      <c r="D617" s="29"/>
    </row>
    <row r="618" spans="2:4" x14ac:dyDescent="0.3">
      <c r="B618" s="34"/>
      <c r="C618" s="29"/>
      <c r="D618" s="29"/>
    </row>
    <row r="619" spans="2:4" x14ac:dyDescent="0.3">
      <c r="B619" s="34"/>
      <c r="C619" s="29"/>
      <c r="D619" s="29"/>
    </row>
    <row r="620" spans="2:4" x14ac:dyDescent="0.3">
      <c r="B620" s="34"/>
      <c r="C620" s="29"/>
      <c r="D620" s="29"/>
    </row>
    <row r="621" spans="2:4" x14ac:dyDescent="0.3">
      <c r="B621" s="34"/>
      <c r="C621" s="29"/>
      <c r="D621" s="29"/>
    </row>
    <row r="622" spans="2:4" x14ac:dyDescent="0.3">
      <c r="B622" s="34"/>
      <c r="C622" s="29"/>
      <c r="D622" s="29"/>
    </row>
    <row r="623" spans="2:4" x14ac:dyDescent="0.3">
      <c r="B623" s="34"/>
      <c r="C623" s="29"/>
      <c r="D623" s="29"/>
    </row>
    <row r="624" spans="2:4" x14ac:dyDescent="0.3">
      <c r="B624" s="34"/>
      <c r="C624" s="29"/>
      <c r="D624" s="29"/>
    </row>
    <row r="625" spans="2:6" x14ac:dyDescent="0.3">
      <c r="B625" s="34"/>
      <c r="C625" s="29"/>
      <c r="D625" s="29"/>
    </row>
    <row r="626" spans="2:6" x14ac:dyDescent="0.3">
      <c r="B626" s="34"/>
      <c r="C626" s="29"/>
      <c r="D626" s="29"/>
    </row>
    <row r="627" spans="2:6" x14ac:dyDescent="0.3">
      <c r="B627" s="34"/>
      <c r="C627" s="29"/>
      <c r="D627" s="29"/>
    </row>
    <row r="628" spans="2:6" x14ac:dyDescent="0.3">
      <c r="B628" s="34"/>
      <c r="C628" s="29"/>
      <c r="D628" s="29"/>
    </row>
    <row r="629" spans="2:6" x14ac:dyDescent="0.3">
      <c r="B629" s="34"/>
      <c r="C629" s="29"/>
      <c r="D629" s="29"/>
    </row>
    <row r="630" spans="2:6" x14ac:dyDescent="0.3">
      <c r="B630" s="34"/>
      <c r="C630" s="29"/>
      <c r="D630" s="29"/>
    </row>
    <row r="631" spans="2:6" x14ac:dyDescent="0.3">
      <c r="B631" s="34"/>
      <c r="C631" s="29"/>
      <c r="D631" s="29"/>
    </row>
    <row r="632" spans="2:6" x14ac:dyDescent="0.3">
      <c r="B632" s="34"/>
      <c r="C632" s="29"/>
      <c r="D632" s="29"/>
    </row>
    <row r="633" spans="2:6" x14ac:dyDescent="0.3">
      <c r="B633" s="34"/>
      <c r="C633" s="29"/>
      <c r="D633" s="29"/>
    </row>
    <row r="634" spans="2:6" x14ac:dyDescent="0.3">
      <c r="B634" s="34"/>
      <c r="C634" s="29"/>
      <c r="D634" s="29"/>
    </row>
    <row r="635" spans="2:6" x14ac:dyDescent="0.3">
      <c r="B635" s="34"/>
      <c r="C635" s="29"/>
      <c r="D635" s="29"/>
    </row>
    <row r="636" spans="2:6" x14ac:dyDescent="0.3">
      <c r="B636" s="34"/>
      <c r="C636" s="29"/>
      <c r="D636" s="29"/>
    </row>
    <row r="637" spans="2:6" x14ac:dyDescent="0.3">
      <c r="B637" s="34"/>
      <c r="C637" s="29"/>
      <c r="D637" s="29"/>
      <c r="E637" s="44"/>
      <c r="F637" s="44"/>
    </row>
    <row r="638" spans="2:6" x14ac:dyDescent="0.3">
      <c r="B638" s="34"/>
      <c r="C638" s="46"/>
      <c r="D638" s="46"/>
      <c r="E638" s="44"/>
      <c r="F638" s="44"/>
    </row>
    <row r="639" spans="2:6" x14ac:dyDescent="0.3">
      <c r="B639" s="34"/>
      <c r="C639" s="46"/>
      <c r="D639" s="46"/>
      <c r="E639" s="44"/>
      <c r="F639" s="44"/>
    </row>
    <row r="640" spans="2:6" x14ac:dyDescent="0.3">
      <c r="B640" s="34"/>
      <c r="C640" s="46"/>
      <c r="D640" s="46"/>
      <c r="E640" s="44"/>
      <c r="F640" s="44"/>
    </row>
    <row r="641" spans="2:6" x14ac:dyDescent="0.3">
      <c r="B641" s="34"/>
      <c r="C641" s="46"/>
      <c r="D641" s="46"/>
      <c r="E641" s="44"/>
      <c r="F641" s="44"/>
    </row>
    <row r="642" spans="2:6" x14ac:dyDescent="0.3">
      <c r="B642" s="34"/>
      <c r="C642" s="46"/>
      <c r="D642" s="46"/>
      <c r="E642" s="44"/>
      <c r="F642" s="44"/>
    </row>
    <row r="643" spans="2:6" x14ac:dyDescent="0.3">
      <c r="B643" s="34"/>
      <c r="C643" s="46"/>
      <c r="D643" s="46"/>
      <c r="E643" s="44"/>
      <c r="F643" s="44"/>
    </row>
    <row r="644" spans="2:6" x14ac:dyDescent="0.3">
      <c r="B644" s="34"/>
      <c r="C644" s="46"/>
      <c r="D644" s="46"/>
      <c r="E644" s="44"/>
      <c r="F644" s="44"/>
    </row>
    <row r="645" spans="2:6" x14ac:dyDescent="0.3">
      <c r="B645" s="34"/>
      <c r="C645" s="46"/>
      <c r="D645" s="46"/>
      <c r="E645" s="44"/>
      <c r="F645" s="44"/>
    </row>
    <row r="646" spans="2:6" x14ac:dyDescent="0.3">
      <c r="B646" s="34"/>
      <c r="C646" s="46"/>
      <c r="D646" s="46"/>
      <c r="E646" s="44"/>
      <c r="F646" s="44"/>
    </row>
    <row r="647" spans="2:6" x14ac:dyDescent="0.3">
      <c r="B647" s="34"/>
      <c r="C647" s="46"/>
      <c r="D647" s="46"/>
      <c r="E647" s="44"/>
      <c r="F647" s="44"/>
    </row>
    <row r="648" spans="2:6" x14ac:dyDescent="0.3">
      <c r="B648" s="34"/>
      <c r="C648" s="46"/>
      <c r="D648" s="46"/>
      <c r="E648" s="44"/>
      <c r="F648" s="44"/>
    </row>
    <row r="649" spans="2:6" x14ac:dyDescent="0.3">
      <c r="B649" s="34"/>
      <c r="C649" s="46"/>
      <c r="D649" s="46"/>
      <c r="E649" s="44"/>
      <c r="F649" s="44"/>
    </row>
    <row r="650" spans="2:6" x14ac:dyDescent="0.3">
      <c r="B650" s="34"/>
      <c r="C650" s="46"/>
      <c r="D650" s="46"/>
      <c r="E650" s="44"/>
      <c r="F650" s="44"/>
    </row>
    <row r="651" spans="2:6" x14ac:dyDescent="0.3">
      <c r="B651" s="48"/>
      <c r="C651" s="45"/>
      <c r="D651" s="45"/>
      <c r="E651" s="44"/>
      <c r="F651" s="44"/>
    </row>
    <row r="652" spans="2:6" x14ac:dyDescent="0.3">
      <c r="B652" s="48"/>
      <c r="C652" s="49"/>
      <c r="D652" s="49"/>
      <c r="E652" s="44"/>
      <c r="F652" s="4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0B911-B75E-4D96-8D0C-671BD2370D81}">
  <sheetPr codeName="Hoja3"/>
  <dimension ref="A1:D187"/>
  <sheetViews>
    <sheetView workbookViewId="0">
      <selection activeCell="B3" sqref="B3"/>
    </sheetView>
  </sheetViews>
  <sheetFormatPr baseColWidth="10" defaultRowHeight="14.4" x14ac:dyDescent="0.3"/>
  <cols>
    <col min="1" max="1" width="22.21875" customWidth="1"/>
    <col min="2" max="2" width="48.109375" customWidth="1"/>
  </cols>
  <sheetData>
    <row r="1" spans="1:4" x14ac:dyDescent="0.3">
      <c r="A1" s="9" t="s">
        <v>112</v>
      </c>
    </row>
    <row r="2" spans="1:4" x14ac:dyDescent="0.3">
      <c r="A2" s="10"/>
      <c r="B2" s="10" t="s">
        <v>113</v>
      </c>
      <c r="D2" s="11" t="s">
        <v>114</v>
      </c>
    </row>
    <row r="3" spans="1:4" x14ac:dyDescent="0.3">
      <c r="A3" s="13"/>
      <c r="B3" s="12"/>
      <c r="D3" t="s">
        <v>115</v>
      </c>
    </row>
    <row r="4" spans="1:4" x14ac:dyDescent="0.3">
      <c r="A4" s="13"/>
      <c r="B4" s="12"/>
      <c r="D4" t="s">
        <v>116</v>
      </c>
    </row>
    <row r="5" spans="1:4" x14ac:dyDescent="0.3">
      <c r="A5" s="13"/>
      <c r="B5" s="12"/>
      <c r="D5" t="s">
        <v>117</v>
      </c>
    </row>
    <row r="6" spans="1:4" x14ac:dyDescent="0.3">
      <c r="A6" s="13"/>
      <c r="B6" s="12"/>
      <c r="D6" t="s">
        <v>118</v>
      </c>
    </row>
    <row r="7" spans="1:4" x14ac:dyDescent="0.3">
      <c r="A7" s="13"/>
      <c r="B7" s="12"/>
      <c r="D7" t="s">
        <v>119</v>
      </c>
    </row>
    <row r="8" spans="1:4" x14ac:dyDescent="0.3">
      <c r="A8" s="13"/>
      <c r="B8" s="12"/>
      <c r="D8" t="s">
        <v>246</v>
      </c>
    </row>
    <row r="9" spans="1:4" x14ac:dyDescent="0.3">
      <c r="A9" s="13"/>
      <c r="B9" s="12"/>
      <c r="D9" t="s">
        <v>120</v>
      </c>
    </row>
    <row r="10" spans="1:4" x14ac:dyDescent="0.3">
      <c r="A10" s="13"/>
      <c r="B10" s="12"/>
      <c r="D10" t="s">
        <v>110</v>
      </c>
    </row>
    <row r="11" spans="1:4" x14ac:dyDescent="0.3">
      <c r="A11" s="13"/>
      <c r="B11" s="12"/>
      <c r="D11" t="s">
        <v>111</v>
      </c>
    </row>
    <row r="12" spans="1:4" x14ac:dyDescent="0.3">
      <c r="A12" s="13"/>
      <c r="B12" s="12"/>
    </row>
    <row r="13" spans="1:4" x14ac:dyDescent="0.3">
      <c r="A13" s="13"/>
      <c r="B13" s="12"/>
    </row>
    <row r="14" spans="1:4" x14ac:dyDescent="0.3">
      <c r="A14" s="13"/>
      <c r="B14" s="12"/>
    </row>
    <row r="15" spans="1:4" x14ac:dyDescent="0.3">
      <c r="A15" s="13"/>
      <c r="B15" s="12"/>
    </row>
    <row r="16" spans="1:4" x14ac:dyDescent="0.3">
      <c r="A16" s="13"/>
      <c r="B16" s="12"/>
    </row>
    <row r="17" spans="1:2" x14ac:dyDescent="0.3">
      <c r="A17" s="13"/>
      <c r="B17" s="12"/>
    </row>
    <row r="18" spans="1:2" x14ac:dyDescent="0.3">
      <c r="A18" s="13"/>
      <c r="B18" s="12"/>
    </row>
    <row r="19" spans="1:2" x14ac:dyDescent="0.3">
      <c r="A19" s="13"/>
      <c r="B19" s="12"/>
    </row>
    <row r="20" spans="1:2" x14ac:dyDescent="0.3">
      <c r="A20" s="13"/>
      <c r="B20" s="12"/>
    </row>
    <row r="21" spans="1:2" x14ac:dyDescent="0.3">
      <c r="A21" s="13"/>
      <c r="B21" s="12"/>
    </row>
    <row r="22" spans="1:2" x14ac:dyDescent="0.3">
      <c r="A22" s="13"/>
      <c r="B22" s="12"/>
    </row>
    <row r="23" spans="1:2" x14ac:dyDescent="0.3">
      <c r="A23" s="13"/>
      <c r="B23" s="12"/>
    </row>
    <row r="24" spans="1:2" x14ac:dyDescent="0.3">
      <c r="A24" s="13"/>
      <c r="B24" s="12"/>
    </row>
    <row r="25" spans="1:2" x14ac:dyDescent="0.3">
      <c r="A25" s="13"/>
      <c r="B25" s="12"/>
    </row>
    <row r="26" spans="1:2" x14ac:dyDescent="0.3">
      <c r="A26" s="13"/>
      <c r="B26" s="12"/>
    </row>
    <row r="27" spans="1:2" x14ac:dyDescent="0.3">
      <c r="A27" s="13"/>
      <c r="B27" s="12"/>
    </row>
    <row r="28" spans="1:2" x14ac:dyDescent="0.3">
      <c r="A28" s="13"/>
      <c r="B28" s="12"/>
    </row>
    <row r="29" spans="1:2" x14ac:dyDescent="0.3">
      <c r="A29" s="13"/>
      <c r="B29" s="12"/>
    </row>
    <row r="30" spans="1:2" x14ac:dyDescent="0.3">
      <c r="A30" s="13"/>
      <c r="B30" s="12"/>
    </row>
    <row r="31" spans="1:2" x14ac:dyDescent="0.3">
      <c r="A31" s="13"/>
      <c r="B31" s="12"/>
    </row>
    <row r="32" spans="1:2" x14ac:dyDescent="0.3">
      <c r="A32" s="13"/>
      <c r="B32" s="12"/>
    </row>
    <row r="33" spans="1:2" x14ac:dyDescent="0.3">
      <c r="A33" s="13"/>
      <c r="B33" s="12"/>
    </row>
    <row r="34" spans="1:2" x14ac:dyDescent="0.3">
      <c r="A34" s="13"/>
      <c r="B34" s="12"/>
    </row>
    <row r="35" spans="1:2" x14ac:dyDescent="0.3">
      <c r="A35" s="13"/>
      <c r="B35" s="12"/>
    </row>
    <row r="36" spans="1:2" x14ac:dyDescent="0.3">
      <c r="A36" s="13"/>
      <c r="B36" s="12"/>
    </row>
    <row r="37" spans="1:2" x14ac:dyDescent="0.3">
      <c r="A37" s="13"/>
      <c r="B37" s="12"/>
    </row>
    <row r="38" spans="1:2" x14ac:dyDescent="0.3">
      <c r="A38" s="13"/>
      <c r="B38" s="12"/>
    </row>
    <row r="39" spans="1:2" x14ac:dyDescent="0.3">
      <c r="A39" s="13"/>
      <c r="B39" s="12"/>
    </row>
    <row r="40" spans="1:2" x14ac:dyDescent="0.3">
      <c r="A40" s="13"/>
      <c r="B40" s="12"/>
    </row>
    <row r="41" spans="1:2" x14ac:dyDescent="0.3">
      <c r="A41" s="13"/>
      <c r="B41" s="12"/>
    </row>
    <row r="42" spans="1:2" x14ac:dyDescent="0.3">
      <c r="A42" s="13"/>
      <c r="B42" s="12"/>
    </row>
    <row r="43" spans="1:2" x14ac:dyDescent="0.3">
      <c r="A43" s="13"/>
      <c r="B43" s="12"/>
    </row>
    <row r="44" spans="1:2" x14ac:dyDescent="0.3">
      <c r="A44" s="13"/>
      <c r="B44" s="12"/>
    </row>
    <row r="45" spans="1:2" x14ac:dyDescent="0.3">
      <c r="A45" s="13"/>
      <c r="B45" s="12"/>
    </row>
    <row r="46" spans="1:2" x14ac:dyDescent="0.3">
      <c r="A46" s="13"/>
      <c r="B46" s="12"/>
    </row>
    <row r="47" spans="1:2" x14ac:dyDescent="0.3">
      <c r="A47" s="13"/>
      <c r="B47" s="12"/>
    </row>
    <row r="48" spans="1:2" x14ac:dyDescent="0.3">
      <c r="A48" s="13"/>
      <c r="B48" s="12"/>
    </row>
    <row r="49" spans="1:2" x14ac:dyDescent="0.3">
      <c r="A49" s="13"/>
      <c r="B49" s="12"/>
    </row>
    <row r="50" spans="1:2" x14ac:dyDescent="0.3">
      <c r="A50" s="13"/>
      <c r="B50" s="12"/>
    </row>
    <row r="51" spans="1:2" x14ac:dyDescent="0.3">
      <c r="A51" s="13"/>
      <c r="B51" s="12"/>
    </row>
    <row r="52" spans="1:2" x14ac:dyDescent="0.3">
      <c r="A52" s="13"/>
      <c r="B52" s="12"/>
    </row>
    <row r="53" spans="1:2" x14ac:dyDescent="0.3">
      <c r="A53" s="13"/>
      <c r="B53" s="12"/>
    </row>
    <row r="54" spans="1:2" x14ac:dyDescent="0.3">
      <c r="A54" s="13"/>
      <c r="B54" s="12"/>
    </row>
    <row r="55" spans="1:2" x14ac:dyDescent="0.3">
      <c r="A55" s="13"/>
      <c r="B55" s="12"/>
    </row>
    <row r="56" spans="1:2" x14ac:dyDescent="0.3">
      <c r="A56" s="13"/>
      <c r="B56" s="12"/>
    </row>
    <row r="57" spans="1:2" x14ac:dyDescent="0.3">
      <c r="A57" s="13"/>
      <c r="B57" s="12"/>
    </row>
    <row r="58" spans="1:2" x14ac:dyDescent="0.3">
      <c r="A58" s="13"/>
      <c r="B58" s="12"/>
    </row>
    <row r="59" spans="1:2" x14ac:dyDescent="0.3">
      <c r="A59" s="13"/>
      <c r="B59" s="12"/>
    </row>
    <row r="60" spans="1:2" x14ac:dyDescent="0.3">
      <c r="A60" s="13"/>
      <c r="B60" s="12"/>
    </row>
    <row r="61" spans="1:2" x14ac:dyDescent="0.3">
      <c r="A61" s="13"/>
      <c r="B61" s="12"/>
    </row>
    <row r="62" spans="1:2" x14ac:dyDescent="0.3">
      <c r="A62" s="13"/>
      <c r="B62" s="12"/>
    </row>
    <row r="63" spans="1:2" x14ac:dyDescent="0.3">
      <c r="A63" s="13"/>
      <c r="B63" s="12"/>
    </row>
    <row r="64" spans="1:2" x14ac:dyDescent="0.3">
      <c r="A64" s="13"/>
      <c r="B64" s="12"/>
    </row>
    <row r="65" spans="1:2" x14ac:dyDescent="0.3">
      <c r="A65" s="13"/>
      <c r="B65" s="12"/>
    </row>
    <row r="66" spans="1:2" x14ac:dyDescent="0.3">
      <c r="A66" s="13"/>
      <c r="B66" s="12"/>
    </row>
    <row r="67" spans="1:2" x14ac:dyDescent="0.3">
      <c r="A67" s="13"/>
      <c r="B67" s="12"/>
    </row>
    <row r="68" spans="1:2" x14ac:dyDescent="0.3">
      <c r="A68" s="13"/>
      <c r="B68" s="12"/>
    </row>
    <row r="69" spans="1:2" x14ac:dyDescent="0.3">
      <c r="A69" s="13"/>
      <c r="B69" s="12"/>
    </row>
    <row r="70" spans="1:2" x14ac:dyDescent="0.3">
      <c r="A70" s="13"/>
      <c r="B70" s="12"/>
    </row>
    <row r="71" spans="1:2" x14ac:dyDescent="0.3">
      <c r="A71" s="13"/>
      <c r="B71" s="12"/>
    </row>
    <row r="72" spans="1:2" x14ac:dyDescent="0.3">
      <c r="A72" s="13"/>
      <c r="B72" s="12"/>
    </row>
    <row r="73" spans="1:2" x14ac:dyDescent="0.3">
      <c r="A73" s="13"/>
      <c r="B73" s="12"/>
    </row>
    <row r="74" spans="1:2" x14ac:dyDescent="0.3">
      <c r="A74" s="13"/>
      <c r="B74" s="12"/>
    </row>
    <row r="75" spans="1:2" x14ac:dyDescent="0.3">
      <c r="A75" s="13"/>
      <c r="B75" s="12"/>
    </row>
    <row r="76" spans="1:2" x14ac:dyDescent="0.3">
      <c r="A76" s="13"/>
      <c r="B76" s="12"/>
    </row>
    <row r="77" spans="1:2" x14ac:dyDescent="0.3">
      <c r="A77" s="13"/>
      <c r="B77" s="12"/>
    </row>
    <row r="78" spans="1:2" x14ac:dyDescent="0.3">
      <c r="A78" s="13"/>
      <c r="B78" s="12"/>
    </row>
    <row r="79" spans="1:2" x14ac:dyDescent="0.3">
      <c r="A79" s="13"/>
      <c r="B79" s="12"/>
    </row>
    <row r="80" spans="1:2" x14ac:dyDescent="0.3">
      <c r="A80" s="13"/>
      <c r="B80" s="12"/>
    </row>
    <row r="81" spans="1:2" x14ac:dyDescent="0.3">
      <c r="A81" s="13"/>
      <c r="B81" s="12"/>
    </row>
    <row r="82" spans="1:2" x14ac:dyDescent="0.3">
      <c r="A82" s="13"/>
      <c r="B82" s="12"/>
    </row>
    <row r="83" spans="1:2" x14ac:dyDescent="0.3">
      <c r="A83" s="13"/>
      <c r="B83" s="12"/>
    </row>
    <row r="84" spans="1:2" x14ac:dyDescent="0.3">
      <c r="A84" s="13"/>
      <c r="B84" s="12"/>
    </row>
    <row r="85" spans="1:2" x14ac:dyDescent="0.3">
      <c r="A85" s="13"/>
      <c r="B85" s="12"/>
    </row>
    <row r="86" spans="1:2" x14ac:dyDescent="0.3">
      <c r="A86" s="13"/>
      <c r="B86" s="12"/>
    </row>
    <row r="87" spans="1:2" x14ac:dyDescent="0.3">
      <c r="A87" s="13"/>
      <c r="B87" s="12"/>
    </row>
    <row r="88" spans="1:2" x14ac:dyDescent="0.3">
      <c r="A88" s="13"/>
      <c r="B88" s="12"/>
    </row>
    <row r="89" spans="1:2" x14ac:dyDescent="0.3">
      <c r="A89" s="13"/>
      <c r="B89" s="12"/>
    </row>
    <row r="90" spans="1:2" x14ac:dyDescent="0.3">
      <c r="A90" s="13"/>
      <c r="B90" s="12"/>
    </row>
    <row r="91" spans="1:2" x14ac:dyDescent="0.3">
      <c r="A91" s="13"/>
      <c r="B91" s="12"/>
    </row>
    <row r="92" spans="1:2" x14ac:dyDescent="0.3">
      <c r="A92" s="13"/>
      <c r="B92" s="12"/>
    </row>
    <row r="93" spans="1:2" x14ac:dyDescent="0.3">
      <c r="A93" s="13"/>
      <c r="B93" s="12"/>
    </row>
    <row r="94" spans="1:2" x14ac:dyDescent="0.3">
      <c r="A94" s="13"/>
      <c r="B94" s="12"/>
    </row>
    <row r="95" spans="1:2" x14ac:dyDescent="0.3">
      <c r="A95" s="13"/>
      <c r="B95" s="12"/>
    </row>
    <row r="96" spans="1:2" x14ac:dyDescent="0.3">
      <c r="A96" s="13"/>
      <c r="B96" s="12"/>
    </row>
    <row r="97" spans="1:2" x14ac:dyDescent="0.3">
      <c r="A97" s="13"/>
      <c r="B97" s="12"/>
    </row>
    <row r="98" spans="1:2" x14ac:dyDescent="0.3">
      <c r="A98" s="13"/>
      <c r="B98" s="12"/>
    </row>
    <row r="99" spans="1:2" x14ac:dyDescent="0.3">
      <c r="A99" s="13"/>
      <c r="B99" s="12"/>
    </row>
    <row r="100" spans="1:2" x14ac:dyDescent="0.3">
      <c r="A100" s="13"/>
      <c r="B100" s="12"/>
    </row>
    <row r="101" spans="1:2" x14ac:dyDescent="0.3">
      <c r="A101" s="13"/>
      <c r="B101" s="12"/>
    </row>
    <row r="102" spans="1:2" x14ac:dyDescent="0.3">
      <c r="A102" s="13"/>
      <c r="B102" s="12"/>
    </row>
    <row r="103" spans="1:2" x14ac:dyDescent="0.3">
      <c r="A103" s="13"/>
      <c r="B103" s="12"/>
    </row>
    <row r="104" spans="1:2" x14ac:dyDescent="0.3">
      <c r="A104" s="13"/>
      <c r="B104" s="12"/>
    </row>
    <row r="105" spans="1:2" x14ac:dyDescent="0.3">
      <c r="A105" s="13"/>
      <c r="B105" s="12"/>
    </row>
    <row r="106" spans="1:2" x14ac:dyDescent="0.3">
      <c r="A106" s="13"/>
      <c r="B106" s="12"/>
    </row>
    <row r="107" spans="1:2" x14ac:dyDescent="0.3">
      <c r="A107" s="13"/>
      <c r="B107" s="12"/>
    </row>
    <row r="108" spans="1:2" x14ac:dyDescent="0.3">
      <c r="A108" s="13"/>
      <c r="B108" s="12"/>
    </row>
    <row r="109" spans="1:2" x14ac:dyDescent="0.3">
      <c r="A109" s="13"/>
      <c r="B109" s="12"/>
    </row>
    <row r="110" spans="1:2" x14ac:dyDescent="0.3">
      <c r="A110" s="13"/>
      <c r="B110" s="12"/>
    </row>
    <row r="111" spans="1:2" x14ac:dyDescent="0.3">
      <c r="B111" s="38"/>
    </row>
    <row r="112" spans="1:2" x14ac:dyDescent="0.3">
      <c r="B112" s="38"/>
    </row>
    <row r="113" spans="2:2" x14ac:dyDescent="0.3">
      <c r="B113" s="38"/>
    </row>
    <row r="114" spans="2:2" x14ac:dyDescent="0.3">
      <c r="B114" s="38"/>
    </row>
    <row r="115" spans="2:2" x14ac:dyDescent="0.3">
      <c r="B115" s="38"/>
    </row>
    <row r="116" spans="2:2" x14ac:dyDescent="0.3">
      <c r="B116" s="38"/>
    </row>
    <row r="117" spans="2:2" x14ac:dyDescent="0.3">
      <c r="B117" s="38"/>
    </row>
    <row r="118" spans="2:2" x14ac:dyDescent="0.3">
      <c r="B118" s="38"/>
    </row>
    <row r="119" spans="2:2" x14ac:dyDescent="0.3">
      <c r="B119" s="38"/>
    </row>
    <row r="120" spans="2:2" x14ac:dyDescent="0.3">
      <c r="B120" s="38"/>
    </row>
    <row r="121" spans="2:2" x14ac:dyDescent="0.3">
      <c r="B121" s="38"/>
    </row>
    <row r="122" spans="2:2" x14ac:dyDescent="0.3">
      <c r="B122" s="38"/>
    </row>
    <row r="123" spans="2:2" x14ac:dyDescent="0.3">
      <c r="B123" s="38"/>
    </row>
    <row r="124" spans="2:2" x14ac:dyDescent="0.3">
      <c r="B124" s="38"/>
    </row>
    <row r="125" spans="2:2" x14ac:dyDescent="0.3">
      <c r="B125" s="38"/>
    </row>
    <row r="126" spans="2:2" x14ac:dyDescent="0.3">
      <c r="B126" s="38"/>
    </row>
    <row r="127" spans="2:2" x14ac:dyDescent="0.3">
      <c r="B127" s="38"/>
    </row>
    <row r="128" spans="2:2" x14ac:dyDescent="0.3">
      <c r="B128" s="38"/>
    </row>
    <row r="129" spans="2:2" x14ac:dyDescent="0.3">
      <c r="B129" s="38"/>
    </row>
    <row r="130" spans="2:2" x14ac:dyDescent="0.3">
      <c r="B130" s="38"/>
    </row>
    <row r="131" spans="2:2" x14ac:dyDescent="0.3">
      <c r="B131" s="38"/>
    </row>
    <row r="132" spans="2:2" x14ac:dyDescent="0.3">
      <c r="B132" s="38"/>
    </row>
    <row r="133" spans="2:2" x14ac:dyDescent="0.3">
      <c r="B133" s="38"/>
    </row>
    <row r="134" spans="2:2" x14ac:dyDescent="0.3">
      <c r="B134" s="38"/>
    </row>
    <row r="135" spans="2:2" x14ac:dyDescent="0.3">
      <c r="B135" s="38"/>
    </row>
    <row r="136" spans="2:2" x14ac:dyDescent="0.3">
      <c r="B136" s="38"/>
    </row>
    <row r="137" spans="2:2" x14ac:dyDescent="0.3">
      <c r="B137" s="38"/>
    </row>
    <row r="138" spans="2:2" x14ac:dyDescent="0.3">
      <c r="B138" s="38"/>
    </row>
    <row r="139" spans="2:2" x14ac:dyDescent="0.3">
      <c r="B139" s="38"/>
    </row>
    <row r="140" spans="2:2" x14ac:dyDescent="0.3">
      <c r="B140" s="38"/>
    </row>
    <row r="141" spans="2:2" x14ac:dyDescent="0.3">
      <c r="B141" s="38"/>
    </row>
    <row r="142" spans="2:2" x14ac:dyDescent="0.3">
      <c r="B142" s="38"/>
    </row>
    <row r="143" spans="2:2" x14ac:dyDescent="0.3">
      <c r="B143" s="38"/>
    </row>
    <row r="144" spans="2:2" x14ac:dyDescent="0.3">
      <c r="B144" s="38"/>
    </row>
    <row r="145" spans="2:2" x14ac:dyDescent="0.3">
      <c r="B145" s="38"/>
    </row>
    <row r="146" spans="2:2" x14ac:dyDescent="0.3">
      <c r="B146" s="38"/>
    </row>
    <row r="147" spans="2:2" x14ac:dyDescent="0.3">
      <c r="B147" s="38"/>
    </row>
    <row r="148" spans="2:2" x14ac:dyDescent="0.3">
      <c r="B148" s="38"/>
    </row>
    <row r="149" spans="2:2" x14ac:dyDescent="0.3">
      <c r="B149" s="38"/>
    </row>
    <row r="150" spans="2:2" x14ac:dyDescent="0.3">
      <c r="B150" s="38"/>
    </row>
    <row r="151" spans="2:2" x14ac:dyDescent="0.3">
      <c r="B151" s="38"/>
    </row>
    <row r="152" spans="2:2" x14ac:dyDescent="0.3">
      <c r="B152" s="38"/>
    </row>
    <row r="153" spans="2:2" x14ac:dyDescent="0.3">
      <c r="B153" s="38"/>
    </row>
    <row r="154" spans="2:2" x14ac:dyDescent="0.3">
      <c r="B154" s="38"/>
    </row>
    <row r="155" spans="2:2" x14ac:dyDescent="0.3">
      <c r="B155" s="38"/>
    </row>
    <row r="156" spans="2:2" x14ac:dyDescent="0.3">
      <c r="B156" s="38"/>
    </row>
    <row r="157" spans="2:2" x14ac:dyDescent="0.3">
      <c r="B157" s="38"/>
    </row>
    <row r="158" spans="2:2" x14ac:dyDescent="0.3">
      <c r="B158" s="38"/>
    </row>
    <row r="159" spans="2:2" x14ac:dyDescent="0.3">
      <c r="B159" s="38"/>
    </row>
    <row r="160" spans="2:2" x14ac:dyDescent="0.3">
      <c r="B160" s="38"/>
    </row>
    <row r="161" spans="2:2" x14ac:dyDescent="0.3">
      <c r="B161" s="38"/>
    </row>
    <row r="162" spans="2:2" x14ac:dyDescent="0.3">
      <c r="B162" s="38"/>
    </row>
    <row r="163" spans="2:2" x14ac:dyDescent="0.3">
      <c r="B163" s="38"/>
    </row>
    <row r="164" spans="2:2" x14ac:dyDescent="0.3">
      <c r="B164" s="38"/>
    </row>
    <row r="165" spans="2:2" x14ac:dyDescent="0.3">
      <c r="B165" s="38"/>
    </row>
    <row r="166" spans="2:2" x14ac:dyDescent="0.3">
      <c r="B166" s="38"/>
    </row>
    <row r="167" spans="2:2" x14ac:dyDescent="0.3">
      <c r="B167" s="38"/>
    </row>
    <row r="168" spans="2:2" x14ac:dyDescent="0.3">
      <c r="B168" s="38"/>
    </row>
    <row r="169" spans="2:2" x14ac:dyDescent="0.3">
      <c r="B169" s="38"/>
    </row>
    <row r="170" spans="2:2" x14ac:dyDescent="0.3">
      <c r="B170" s="38"/>
    </row>
    <row r="171" spans="2:2" x14ac:dyDescent="0.3">
      <c r="B171" s="38"/>
    </row>
    <row r="172" spans="2:2" x14ac:dyDescent="0.3">
      <c r="B172" s="38"/>
    </row>
    <row r="173" spans="2:2" x14ac:dyDescent="0.3">
      <c r="B173" s="38"/>
    </row>
    <row r="174" spans="2:2" x14ac:dyDescent="0.3">
      <c r="B174" s="38"/>
    </row>
    <row r="175" spans="2:2" x14ac:dyDescent="0.3">
      <c r="B175" s="38"/>
    </row>
    <row r="176" spans="2:2" x14ac:dyDescent="0.3">
      <c r="B176" s="38"/>
    </row>
    <row r="177" spans="2:2" x14ac:dyDescent="0.3">
      <c r="B177" s="38"/>
    </row>
    <row r="178" spans="2:2" x14ac:dyDescent="0.3">
      <c r="B178" s="38"/>
    </row>
    <row r="179" spans="2:2" x14ac:dyDescent="0.3">
      <c r="B179" s="38"/>
    </row>
    <row r="180" spans="2:2" x14ac:dyDescent="0.3">
      <c r="B180" s="38"/>
    </row>
    <row r="181" spans="2:2" x14ac:dyDescent="0.3">
      <c r="B181" s="38"/>
    </row>
    <row r="182" spans="2:2" x14ac:dyDescent="0.3">
      <c r="B182" s="38"/>
    </row>
    <row r="183" spans="2:2" x14ac:dyDescent="0.3">
      <c r="B183" s="38"/>
    </row>
    <row r="184" spans="2:2" x14ac:dyDescent="0.3">
      <c r="B184" s="38"/>
    </row>
    <row r="185" spans="2:2" x14ac:dyDescent="0.3">
      <c r="B185" s="38"/>
    </row>
    <row r="186" spans="2:2" x14ac:dyDescent="0.3">
      <c r="B186" s="38"/>
    </row>
    <row r="187" spans="2:2" x14ac:dyDescent="0.3">
      <c r="B187" s="3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1AA3C-567B-4197-BDB8-4C32D312213A}">
  <sheetPr codeName="Hoja4"/>
  <dimension ref="A1:Z155"/>
  <sheetViews>
    <sheetView topLeftCell="A23" zoomScale="85" zoomScaleNormal="85" workbookViewId="0">
      <selection activeCell="J36" sqref="J36:J155"/>
    </sheetView>
  </sheetViews>
  <sheetFormatPr baseColWidth="10" defaultRowHeight="14.4" x14ac:dyDescent="0.3"/>
  <cols>
    <col min="1" max="1" width="27.77734375" customWidth="1"/>
    <col min="3" max="3" width="48.109375" customWidth="1"/>
    <col min="8" max="8" width="29" bestFit="1" customWidth="1"/>
  </cols>
  <sheetData>
    <row r="1" spans="1:26" ht="18" x14ac:dyDescent="0.35">
      <c r="A1" s="3" t="s">
        <v>17</v>
      </c>
      <c r="B1" s="47"/>
      <c r="N1" s="39"/>
      <c r="Z1" s="39"/>
    </row>
    <row r="2" spans="1:26" x14ac:dyDescent="0.3">
      <c r="A2" s="4" t="s">
        <v>18</v>
      </c>
    </row>
    <row r="4" spans="1:26" x14ac:dyDescent="0.3">
      <c r="A4" s="5" t="s">
        <v>19</v>
      </c>
      <c r="B4" s="5" t="s">
        <v>20</v>
      </c>
      <c r="C4" s="5" t="s">
        <v>21</v>
      </c>
      <c r="E4" s="5" t="s">
        <v>41</v>
      </c>
      <c r="G4" s="5" t="s">
        <v>53</v>
      </c>
      <c r="H4" s="5" t="s">
        <v>21</v>
      </c>
      <c r="J4" s="5" t="s">
        <v>92</v>
      </c>
      <c r="L4" s="5" t="s">
        <v>97</v>
      </c>
    </row>
    <row r="5" spans="1:26" x14ac:dyDescent="0.3">
      <c r="A5" t="s">
        <v>22</v>
      </c>
      <c r="B5" s="6">
        <v>44</v>
      </c>
      <c r="C5" t="s">
        <v>23</v>
      </c>
      <c r="E5" t="s">
        <v>42</v>
      </c>
      <c r="G5" s="37" t="s">
        <v>4</v>
      </c>
      <c r="H5" t="s">
        <v>54</v>
      </c>
      <c r="J5" s="41" t="s">
        <v>93</v>
      </c>
      <c r="L5" s="8">
        <v>2025</v>
      </c>
    </row>
    <row r="6" spans="1:26" x14ac:dyDescent="0.3">
      <c r="A6" t="s">
        <v>24</v>
      </c>
      <c r="B6" s="6">
        <v>15</v>
      </c>
      <c r="C6" t="s">
        <v>25</v>
      </c>
      <c r="E6" t="s">
        <v>43</v>
      </c>
      <c r="G6" s="37" t="s">
        <v>55</v>
      </c>
      <c r="H6" t="s">
        <v>56</v>
      </c>
      <c r="J6" s="41" t="s">
        <v>4</v>
      </c>
      <c r="L6" s="8">
        <v>2026</v>
      </c>
    </row>
    <row r="7" spans="1:26" x14ac:dyDescent="0.3">
      <c r="A7" t="s">
        <v>26</v>
      </c>
      <c r="B7" s="6">
        <v>90</v>
      </c>
      <c r="C7" t="s">
        <v>27</v>
      </c>
      <c r="E7" t="s">
        <v>44</v>
      </c>
      <c r="G7" s="37" t="s">
        <v>5</v>
      </c>
      <c r="H7" t="s">
        <v>57</v>
      </c>
      <c r="J7" s="41" t="s">
        <v>55</v>
      </c>
      <c r="L7" s="8">
        <v>2027</v>
      </c>
    </row>
    <row r="8" spans="1:26" x14ac:dyDescent="0.3">
      <c r="A8" t="s">
        <v>28</v>
      </c>
      <c r="B8" s="6">
        <v>240</v>
      </c>
      <c r="C8" t="s">
        <v>29</v>
      </c>
      <c r="E8" t="s">
        <v>45</v>
      </c>
      <c r="G8" s="37" t="s">
        <v>58</v>
      </c>
      <c r="H8" t="s">
        <v>59</v>
      </c>
      <c r="J8" s="41" t="s">
        <v>5</v>
      </c>
      <c r="L8" s="8">
        <v>2028</v>
      </c>
    </row>
    <row r="9" spans="1:26" x14ac:dyDescent="0.3">
      <c r="A9" t="s">
        <v>30</v>
      </c>
      <c r="B9" s="6">
        <v>0.8</v>
      </c>
      <c r="C9" t="s">
        <v>31</v>
      </c>
      <c r="E9" t="s">
        <v>11</v>
      </c>
      <c r="G9" s="37" t="s">
        <v>60</v>
      </c>
      <c r="H9" t="s">
        <v>61</v>
      </c>
      <c r="J9" s="41" t="s">
        <v>58</v>
      </c>
    </row>
    <row r="10" spans="1:26" x14ac:dyDescent="0.3">
      <c r="A10" t="s">
        <v>32</v>
      </c>
      <c r="B10" s="6">
        <v>1.8</v>
      </c>
      <c r="C10" t="s">
        <v>33</v>
      </c>
      <c r="E10" t="s">
        <v>46</v>
      </c>
      <c r="G10" s="37" t="s">
        <v>62</v>
      </c>
      <c r="H10" t="s">
        <v>63</v>
      </c>
      <c r="J10" s="41" t="s">
        <v>60</v>
      </c>
    </row>
    <row r="11" spans="1:26" x14ac:dyDescent="0.3">
      <c r="A11" t="s">
        <v>34</v>
      </c>
      <c r="B11" s="6">
        <v>0.5</v>
      </c>
      <c r="C11" t="s">
        <v>35</v>
      </c>
      <c r="E11" t="s">
        <v>47</v>
      </c>
      <c r="G11" s="37" t="s">
        <v>64</v>
      </c>
      <c r="H11" t="s">
        <v>65</v>
      </c>
      <c r="J11" s="41" t="s">
        <v>62</v>
      </c>
    </row>
    <row r="12" spans="1:26" x14ac:dyDescent="0.3">
      <c r="A12" t="s">
        <v>36</v>
      </c>
      <c r="B12" s="6">
        <v>12</v>
      </c>
      <c r="C12" t="s">
        <v>37</v>
      </c>
      <c r="E12" t="s">
        <v>48</v>
      </c>
      <c r="G12" s="37" t="s">
        <v>66</v>
      </c>
      <c r="H12" t="s">
        <v>67</v>
      </c>
      <c r="J12" s="41" t="s">
        <v>64</v>
      </c>
    </row>
    <row r="13" spans="1:26" x14ac:dyDescent="0.3">
      <c r="A13" t="s">
        <v>38</v>
      </c>
      <c r="B13" s="6" t="s">
        <v>39</v>
      </c>
      <c r="C13" t="s">
        <v>40</v>
      </c>
      <c r="E13" t="s">
        <v>49</v>
      </c>
      <c r="G13" s="37" t="s">
        <v>68</v>
      </c>
      <c r="H13" t="s">
        <v>69</v>
      </c>
      <c r="J13" s="41" t="s">
        <v>66</v>
      </c>
    </row>
    <row r="14" spans="1:26" x14ac:dyDescent="0.3">
      <c r="E14" t="s">
        <v>50</v>
      </c>
      <c r="G14" s="37" t="s">
        <v>70</v>
      </c>
      <c r="H14" t="s">
        <v>71</v>
      </c>
      <c r="J14" s="41" t="s">
        <v>68</v>
      </c>
    </row>
    <row r="15" spans="1:26" x14ac:dyDescent="0.3">
      <c r="E15" t="s">
        <v>51</v>
      </c>
      <c r="G15" s="36" t="s">
        <v>7</v>
      </c>
      <c r="H15" t="s">
        <v>108</v>
      </c>
      <c r="J15" s="41" t="s">
        <v>70</v>
      </c>
    </row>
    <row r="16" spans="1:26" x14ac:dyDescent="0.3">
      <c r="E16" t="s">
        <v>52</v>
      </c>
      <c r="G16" s="36" t="s">
        <v>6</v>
      </c>
      <c r="H16" t="s">
        <v>72</v>
      </c>
      <c r="J16" s="41" t="s">
        <v>7</v>
      </c>
    </row>
    <row r="17" spans="7:10" x14ac:dyDescent="0.3">
      <c r="G17" s="36" t="s">
        <v>73</v>
      </c>
      <c r="H17" t="s">
        <v>74</v>
      </c>
      <c r="J17" s="41" t="s">
        <v>6</v>
      </c>
    </row>
    <row r="18" spans="7:10" x14ac:dyDescent="0.3">
      <c r="G18" s="36" t="s">
        <v>8</v>
      </c>
      <c r="H18" t="s">
        <v>75</v>
      </c>
      <c r="J18" s="41" t="s">
        <v>73</v>
      </c>
    </row>
    <row r="19" spans="7:10" x14ac:dyDescent="0.3">
      <c r="G19" s="36" t="s">
        <v>76</v>
      </c>
      <c r="H19" t="s">
        <v>77</v>
      </c>
      <c r="J19" s="41" t="s">
        <v>8</v>
      </c>
    </row>
    <row r="20" spans="7:10" x14ac:dyDescent="0.3">
      <c r="G20" s="36" t="s">
        <v>78</v>
      </c>
      <c r="H20" t="s">
        <v>79</v>
      </c>
      <c r="J20" s="41" t="s">
        <v>76</v>
      </c>
    </row>
    <row r="21" spans="7:10" x14ac:dyDescent="0.3">
      <c r="G21" s="36" t="s">
        <v>80</v>
      </c>
      <c r="H21" t="s">
        <v>81</v>
      </c>
      <c r="J21" s="41" t="s">
        <v>78</v>
      </c>
    </row>
    <row r="22" spans="7:10" x14ac:dyDescent="0.3">
      <c r="G22" s="36" t="s">
        <v>82</v>
      </c>
      <c r="H22" t="s">
        <v>83</v>
      </c>
      <c r="J22" s="41" t="s">
        <v>80</v>
      </c>
    </row>
    <row r="23" spans="7:10" x14ac:dyDescent="0.3">
      <c r="G23" s="36" t="s">
        <v>84</v>
      </c>
      <c r="H23" t="s">
        <v>85</v>
      </c>
      <c r="J23" s="41" t="s">
        <v>82</v>
      </c>
    </row>
    <row r="24" spans="7:10" x14ac:dyDescent="0.3">
      <c r="G24" s="36" t="s">
        <v>86</v>
      </c>
      <c r="H24" t="s">
        <v>87</v>
      </c>
      <c r="J24" s="41" t="s">
        <v>84</v>
      </c>
    </row>
    <row r="25" spans="7:10" x14ac:dyDescent="0.3">
      <c r="G25" s="36" t="s">
        <v>88</v>
      </c>
      <c r="H25" t="s">
        <v>89</v>
      </c>
      <c r="J25" s="41" t="s">
        <v>86</v>
      </c>
    </row>
    <row r="26" spans="7:10" x14ac:dyDescent="0.3">
      <c r="G26" s="36" t="s">
        <v>90</v>
      </c>
      <c r="H26" t="s">
        <v>91</v>
      </c>
      <c r="J26" s="41" t="s">
        <v>88</v>
      </c>
    </row>
    <row r="27" spans="7:10" x14ac:dyDescent="0.3">
      <c r="G27" s="36" t="s">
        <v>105</v>
      </c>
      <c r="H27" t="s">
        <v>109</v>
      </c>
      <c r="J27" s="41" t="s">
        <v>105</v>
      </c>
    </row>
    <row r="28" spans="7:10" ht="43.2" x14ac:dyDescent="0.3">
      <c r="G28" s="43" t="s">
        <v>106</v>
      </c>
      <c r="H28" s="39" t="s">
        <v>107</v>
      </c>
      <c r="J28" s="42" t="s">
        <v>90</v>
      </c>
    </row>
    <row r="29" spans="7:10" x14ac:dyDescent="0.3">
      <c r="G29" s="38"/>
      <c r="H29" s="39"/>
      <c r="J29" s="40" t="s">
        <v>106</v>
      </c>
    </row>
    <row r="30" spans="7:10" x14ac:dyDescent="0.3">
      <c r="G30" s="38"/>
      <c r="H30" s="39"/>
      <c r="J30" s="40">
        <v>1</v>
      </c>
    </row>
    <row r="31" spans="7:10" x14ac:dyDescent="0.3">
      <c r="G31" s="38"/>
      <c r="H31" s="39"/>
      <c r="J31" s="40">
        <v>2</v>
      </c>
    </row>
    <row r="32" spans="7:10" x14ac:dyDescent="0.3">
      <c r="G32" s="38"/>
      <c r="H32" s="39"/>
      <c r="J32" s="40">
        <v>3</v>
      </c>
    </row>
    <row r="33" spans="7:10" x14ac:dyDescent="0.3">
      <c r="G33" s="38"/>
      <c r="H33" s="39"/>
      <c r="J33" s="40">
        <v>4</v>
      </c>
    </row>
    <row r="34" spans="7:10" x14ac:dyDescent="0.3">
      <c r="G34" s="38"/>
      <c r="H34" s="39"/>
      <c r="J34" s="40">
        <v>5</v>
      </c>
    </row>
    <row r="35" spans="7:10" x14ac:dyDescent="0.3">
      <c r="G35" s="38"/>
      <c r="H35" s="39"/>
      <c r="J35" s="40">
        <v>6</v>
      </c>
    </row>
    <row r="36" spans="7:10" x14ac:dyDescent="0.3">
      <c r="G36" s="38"/>
      <c r="H36" s="39"/>
      <c r="J36" s="41" t="s">
        <v>124</v>
      </c>
    </row>
    <row r="37" spans="7:10" x14ac:dyDescent="0.3">
      <c r="G37" s="38"/>
      <c r="H37" s="39"/>
      <c r="J37" s="41" t="s">
        <v>125</v>
      </c>
    </row>
    <row r="38" spans="7:10" x14ac:dyDescent="0.3">
      <c r="G38" s="38"/>
      <c r="H38" s="39"/>
      <c r="J38" s="41" t="s">
        <v>126</v>
      </c>
    </row>
    <row r="39" spans="7:10" x14ac:dyDescent="0.3">
      <c r="G39" s="38"/>
      <c r="H39" s="39"/>
      <c r="J39" s="41" t="s">
        <v>127</v>
      </c>
    </row>
    <row r="40" spans="7:10" x14ac:dyDescent="0.3">
      <c r="J40" s="41" t="s">
        <v>128</v>
      </c>
    </row>
    <row r="41" spans="7:10" x14ac:dyDescent="0.3">
      <c r="J41" s="41" t="s">
        <v>129</v>
      </c>
    </row>
    <row r="42" spans="7:10" x14ac:dyDescent="0.3">
      <c r="J42" s="41" t="s">
        <v>130</v>
      </c>
    </row>
    <row r="43" spans="7:10" x14ac:dyDescent="0.3">
      <c r="J43" s="41" t="s">
        <v>131</v>
      </c>
    </row>
    <row r="44" spans="7:10" x14ac:dyDescent="0.3">
      <c r="J44" s="41" t="s">
        <v>132</v>
      </c>
    </row>
    <row r="45" spans="7:10" x14ac:dyDescent="0.3">
      <c r="J45" s="41" t="s">
        <v>133</v>
      </c>
    </row>
    <row r="46" spans="7:10" x14ac:dyDescent="0.3">
      <c r="J46" s="41" t="s">
        <v>134</v>
      </c>
    </row>
    <row r="47" spans="7:10" x14ac:dyDescent="0.3">
      <c r="J47" s="41" t="s">
        <v>135</v>
      </c>
    </row>
    <row r="48" spans="7:10" x14ac:dyDescent="0.3">
      <c r="J48" s="41" t="s">
        <v>136</v>
      </c>
    </row>
    <row r="49" spans="10:10" x14ac:dyDescent="0.3">
      <c r="J49" s="41" t="s">
        <v>137</v>
      </c>
    </row>
    <row r="50" spans="10:10" x14ac:dyDescent="0.3">
      <c r="J50" s="41" t="s">
        <v>138</v>
      </c>
    </row>
    <row r="51" spans="10:10" x14ac:dyDescent="0.3">
      <c r="J51" s="41" t="s">
        <v>139</v>
      </c>
    </row>
    <row r="52" spans="10:10" x14ac:dyDescent="0.3">
      <c r="J52" s="41" t="s">
        <v>140</v>
      </c>
    </row>
    <row r="53" spans="10:10" x14ac:dyDescent="0.3">
      <c r="J53" s="41" t="s">
        <v>141</v>
      </c>
    </row>
    <row r="54" spans="10:10" x14ac:dyDescent="0.3">
      <c r="J54" s="41" t="s">
        <v>142</v>
      </c>
    </row>
    <row r="55" spans="10:10" x14ac:dyDescent="0.3">
      <c r="J55" s="41" t="s">
        <v>143</v>
      </c>
    </row>
    <row r="56" spans="10:10" x14ac:dyDescent="0.3">
      <c r="J56" s="41" t="s">
        <v>144</v>
      </c>
    </row>
    <row r="57" spans="10:10" x14ac:dyDescent="0.3">
      <c r="J57" s="41" t="s">
        <v>145</v>
      </c>
    </row>
    <row r="58" spans="10:10" x14ac:dyDescent="0.3">
      <c r="J58" s="41" t="s">
        <v>146</v>
      </c>
    </row>
    <row r="59" spans="10:10" x14ac:dyDescent="0.3">
      <c r="J59" s="41" t="s">
        <v>147</v>
      </c>
    </row>
    <row r="60" spans="10:10" x14ac:dyDescent="0.3">
      <c r="J60" s="41" t="s">
        <v>148</v>
      </c>
    </row>
    <row r="61" spans="10:10" x14ac:dyDescent="0.3">
      <c r="J61" s="41" t="s">
        <v>149</v>
      </c>
    </row>
    <row r="62" spans="10:10" x14ac:dyDescent="0.3">
      <c r="J62" s="41" t="s">
        <v>150</v>
      </c>
    </row>
    <row r="63" spans="10:10" x14ac:dyDescent="0.3">
      <c r="J63" s="41" t="s">
        <v>151</v>
      </c>
    </row>
    <row r="64" spans="10:10" x14ac:dyDescent="0.3">
      <c r="J64" s="41" t="s">
        <v>152</v>
      </c>
    </row>
    <row r="65" spans="10:10" x14ac:dyDescent="0.3">
      <c r="J65" s="41" t="s">
        <v>153</v>
      </c>
    </row>
    <row r="66" spans="10:10" x14ac:dyDescent="0.3">
      <c r="J66" s="41" t="s">
        <v>154</v>
      </c>
    </row>
    <row r="67" spans="10:10" x14ac:dyDescent="0.3">
      <c r="J67" s="41" t="s">
        <v>155</v>
      </c>
    </row>
    <row r="68" spans="10:10" x14ac:dyDescent="0.3">
      <c r="J68" s="41" t="s">
        <v>156</v>
      </c>
    </row>
    <row r="69" spans="10:10" x14ac:dyDescent="0.3">
      <c r="J69" s="41" t="s">
        <v>157</v>
      </c>
    </row>
    <row r="70" spans="10:10" x14ac:dyDescent="0.3">
      <c r="J70" s="41" t="s">
        <v>158</v>
      </c>
    </row>
    <row r="71" spans="10:10" x14ac:dyDescent="0.3">
      <c r="J71" s="41" t="s">
        <v>159</v>
      </c>
    </row>
    <row r="72" spans="10:10" x14ac:dyDescent="0.3">
      <c r="J72" s="41" t="s">
        <v>160</v>
      </c>
    </row>
    <row r="73" spans="10:10" x14ac:dyDescent="0.3">
      <c r="J73" s="41" t="s">
        <v>161</v>
      </c>
    </row>
    <row r="74" spans="10:10" x14ac:dyDescent="0.3">
      <c r="J74" s="41" t="s">
        <v>162</v>
      </c>
    </row>
    <row r="75" spans="10:10" x14ac:dyDescent="0.3">
      <c r="J75" s="41" t="s">
        <v>163</v>
      </c>
    </row>
    <row r="76" spans="10:10" x14ac:dyDescent="0.3">
      <c r="J76" s="41" t="s">
        <v>164</v>
      </c>
    </row>
    <row r="77" spans="10:10" x14ac:dyDescent="0.3">
      <c r="J77" s="41" t="s">
        <v>165</v>
      </c>
    </row>
    <row r="78" spans="10:10" x14ac:dyDescent="0.3">
      <c r="J78" s="41" t="s">
        <v>166</v>
      </c>
    </row>
    <row r="79" spans="10:10" x14ac:dyDescent="0.3">
      <c r="J79" s="41" t="s">
        <v>167</v>
      </c>
    </row>
    <row r="80" spans="10:10" x14ac:dyDescent="0.3">
      <c r="J80" s="41" t="s">
        <v>168</v>
      </c>
    </row>
    <row r="81" spans="10:10" x14ac:dyDescent="0.3">
      <c r="J81" s="41" t="s">
        <v>169</v>
      </c>
    </row>
    <row r="82" spans="10:10" x14ac:dyDescent="0.3">
      <c r="J82" s="41" t="s">
        <v>170</v>
      </c>
    </row>
    <row r="83" spans="10:10" x14ac:dyDescent="0.3">
      <c r="J83" s="41" t="s">
        <v>171</v>
      </c>
    </row>
    <row r="84" spans="10:10" x14ac:dyDescent="0.3">
      <c r="J84" s="41" t="s">
        <v>172</v>
      </c>
    </row>
    <row r="85" spans="10:10" x14ac:dyDescent="0.3">
      <c r="J85" s="41" t="s">
        <v>173</v>
      </c>
    </row>
    <row r="86" spans="10:10" x14ac:dyDescent="0.3">
      <c r="J86" s="41" t="s">
        <v>174</v>
      </c>
    </row>
    <row r="87" spans="10:10" x14ac:dyDescent="0.3">
      <c r="J87" s="41" t="s">
        <v>175</v>
      </c>
    </row>
    <row r="88" spans="10:10" x14ac:dyDescent="0.3">
      <c r="J88" s="41" t="s">
        <v>176</v>
      </c>
    </row>
    <row r="89" spans="10:10" x14ac:dyDescent="0.3">
      <c r="J89" s="41" t="s">
        <v>177</v>
      </c>
    </row>
    <row r="90" spans="10:10" x14ac:dyDescent="0.3">
      <c r="J90" s="41" t="s">
        <v>178</v>
      </c>
    </row>
    <row r="91" spans="10:10" x14ac:dyDescent="0.3">
      <c r="J91" s="41" t="s">
        <v>179</v>
      </c>
    </row>
    <row r="92" spans="10:10" x14ac:dyDescent="0.3">
      <c r="J92" s="41" t="s">
        <v>180</v>
      </c>
    </row>
    <row r="93" spans="10:10" x14ac:dyDescent="0.3">
      <c r="J93" s="41" t="s">
        <v>181</v>
      </c>
    </row>
    <row r="94" spans="10:10" x14ac:dyDescent="0.3">
      <c r="J94" s="41" t="s">
        <v>182</v>
      </c>
    </row>
    <row r="95" spans="10:10" x14ac:dyDescent="0.3">
      <c r="J95" s="41" t="s">
        <v>183</v>
      </c>
    </row>
    <row r="96" spans="10:10" x14ac:dyDescent="0.3">
      <c r="J96" s="41" t="s">
        <v>184</v>
      </c>
    </row>
    <row r="97" spans="10:10" x14ac:dyDescent="0.3">
      <c r="J97" s="41" t="s">
        <v>185</v>
      </c>
    </row>
    <row r="98" spans="10:10" x14ac:dyDescent="0.3">
      <c r="J98" s="41" t="s">
        <v>186</v>
      </c>
    </row>
    <row r="99" spans="10:10" x14ac:dyDescent="0.3">
      <c r="J99" s="41" t="s">
        <v>187</v>
      </c>
    </row>
    <row r="100" spans="10:10" x14ac:dyDescent="0.3">
      <c r="J100" s="41" t="s">
        <v>188</v>
      </c>
    </row>
    <row r="101" spans="10:10" x14ac:dyDescent="0.3">
      <c r="J101" s="41" t="s">
        <v>189</v>
      </c>
    </row>
    <row r="102" spans="10:10" x14ac:dyDescent="0.3">
      <c r="J102" s="41" t="s">
        <v>190</v>
      </c>
    </row>
    <row r="103" spans="10:10" x14ac:dyDescent="0.3">
      <c r="J103" s="41" t="s">
        <v>191</v>
      </c>
    </row>
    <row r="104" spans="10:10" x14ac:dyDescent="0.3">
      <c r="J104" s="41" t="s">
        <v>192</v>
      </c>
    </row>
    <row r="105" spans="10:10" x14ac:dyDescent="0.3">
      <c r="J105" s="41" t="s">
        <v>193</v>
      </c>
    </row>
    <row r="106" spans="10:10" x14ac:dyDescent="0.3">
      <c r="J106" s="41" t="s">
        <v>194</v>
      </c>
    </row>
    <row r="107" spans="10:10" x14ac:dyDescent="0.3">
      <c r="J107" s="41" t="s">
        <v>195</v>
      </c>
    </row>
    <row r="108" spans="10:10" x14ac:dyDescent="0.3">
      <c r="J108" s="41" t="s">
        <v>196</v>
      </c>
    </row>
    <row r="109" spans="10:10" x14ac:dyDescent="0.3">
      <c r="J109" s="41" t="s">
        <v>197</v>
      </c>
    </row>
    <row r="110" spans="10:10" x14ac:dyDescent="0.3">
      <c r="J110" s="41" t="s">
        <v>198</v>
      </c>
    </row>
    <row r="111" spans="10:10" x14ac:dyDescent="0.3">
      <c r="J111" s="41" t="s">
        <v>199</v>
      </c>
    </row>
    <row r="112" spans="10:10" x14ac:dyDescent="0.3">
      <c r="J112" s="41" t="s">
        <v>200</v>
      </c>
    </row>
    <row r="113" spans="10:10" x14ac:dyDescent="0.3">
      <c r="J113" s="41" t="s">
        <v>201</v>
      </c>
    </row>
    <row r="114" spans="10:10" x14ac:dyDescent="0.3">
      <c r="J114" s="41" t="s">
        <v>202</v>
      </c>
    </row>
    <row r="115" spans="10:10" x14ac:dyDescent="0.3">
      <c r="J115" s="41" t="s">
        <v>203</v>
      </c>
    </row>
    <row r="116" spans="10:10" x14ac:dyDescent="0.3">
      <c r="J116" s="41" t="s">
        <v>204</v>
      </c>
    </row>
    <row r="117" spans="10:10" x14ac:dyDescent="0.3">
      <c r="J117" s="41" t="s">
        <v>205</v>
      </c>
    </row>
    <row r="118" spans="10:10" x14ac:dyDescent="0.3">
      <c r="J118" s="41" t="s">
        <v>206</v>
      </c>
    </row>
    <row r="119" spans="10:10" x14ac:dyDescent="0.3">
      <c r="J119" s="41" t="s">
        <v>207</v>
      </c>
    </row>
    <row r="120" spans="10:10" x14ac:dyDescent="0.3">
      <c r="J120" s="41" t="s">
        <v>208</v>
      </c>
    </row>
    <row r="121" spans="10:10" x14ac:dyDescent="0.3">
      <c r="J121" s="41" t="s">
        <v>209</v>
      </c>
    </row>
    <row r="122" spans="10:10" x14ac:dyDescent="0.3">
      <c r="J122" s="41" t="s">
        <v>210</v>
      </c>
    </row>
    <row r="123" spans="10:10" x14ac:dyDescent="0.3">
      <c r="J123" s="41" t="s">
        <v>211</v>
      </c>
    </row>
    <row r="124" spans="10:10" x14ac:dyDescent="0.3">
      <c r="J124" s="41" t="s">
        <v>212</v>
      </c>
    </row>
    <row r="125" spans="10:10" x14ac:dyDescent="0.3">
      <c r="J125" s="41" t="s">
        <v>213</v>
      </c>
    </row>
    <row r="126" spans="10:10" x14ac:dyDescent="0.3">
      <c r="J126" s="41" t="s">
        <v>214</v>
      </c>
    </row>
    <row r="127" spans="10:10" x14ac:dyDescent="0.3">
      <c r="J127" s="41" t="s">
        <v>215</v>
      </c>
    </row>
    <row r="128" spans="10:10" x14ac:dyDescent="0.3">
      <c r="J128" s="41" t="s">
        <v>216</v>
      </c>
    </row>
    <row r="129" spans="10:10" x14ac:dyDescent="0.3">
      <c r="J129" s="41" t="s">
        <v>217</v>
      </c>
    </row>
    <row r="130" spans="10:10" x14ac:dyDescent="0.3">
      <c r="J130" s="41" t="s">
        <v>218</v>
      </c>
    </row>
    <row r="131" spans="10:10" x14ac:dyDescent="0.3">
      <c r="J131" s="41" t="s">
        <v>219</v>
      </c>
    </row>
    <row r="132" spans="10:10" x14ac:dyDescent="0.3">
      <c r="J132" s="41" t="s">
        <v>220</v>
      </c>
    </row>
    <row r="133" spans="10:10" x14ac:dyDescent="0.3">
      <c r="J133" s="41" t="s">
        <v>221</v>
      </c>
    </row>
    <row r="134" spans="10:10" x14ac:dyDescent="0.3">
      <c r="J134" s="41" t="s">
        <v>222</v>
      </c>
    </row>
    <row r="135" spans="10:10" x14ac:dyDescent="0.3">
      <c r="J135" s="41" t="s">
        <v>223</v>
      </c>
    </row>
    <row r="136" spans="10:10" x14ac:dyDescent="0.3">
      <c r="J136" s="41" t="s">
        <v>224</v>
      </c>
    </row>
    <row r="137" spans="10:10" x14ac:dyDescent="0.3">
      <c r="J137" s="41" t="s">
        <v>225</v>
      </c>
    </row>
    <row r="138" spans="10:10" x14ac:dyDescent="0.3">
      <c r="J138" s="41" t="s">
        <v>226</v>
      </c>
    </row>
    <row r="139" spans="10:10" x14ac:dyDescent="0.3">
      <c r="J139" s="41" t="s">
        <v>227</v>
      </c>
    </row>
    <row r="140" spans="10:10" x14ac:dyDescent="0.3">
      <c r="J140" s="41" t="s">
        <v>228</v>
      </c>
    </row>
    <row r="141" spans="10:10" x14ac:dyDescent="0.3">
      <c r="J141" s="41" t="s">
        <v>229</v>
      </c>
    </row>
    <row r="142" spans="10:10" x14ac:dyDescent="0.3">
      <c r="J142" s="41" t="s">
        <v>230</v>
      </c>
    </row>
    <row r="143" spans="10:10" x14ac:dyDescent="0.3">
      <c r="J143" s="41" t="s">
        <v>231</v>
      </c>
    </row>
    <row r="144" spans="10:10" x14ac:dyDescent="0.3">
      <c r="J144" s="41" t="s">
        <v>232</v>
      </c>
    </row>
    <row r="145" spans="10:10" x14ac:dyDescent="0.3">
      <c r="J145" s="41" t="s">
        <v>233</v>
      </c>
    </row>
    <row r="146" spans="10:10" x14ac:dyDescent="0.3">
      <c r="J146" s="41" t="s">
        <v>234</v>
      </c>
    </row>
    <row r="147" spans="10:10" x14ac:dyDescent="0.3">
      <c r="J147" s="41" t="s">
        <v>235</v>
      </c>
    </row>
    <row r="148" spans="10:10" x14ac:dyDescent="0.3">
      <c r="J148" s="41" t="s">
        <v>236</v>
      </c>
    </row>
    <row r="149" spans="10:10" x14ac:dyDescent="0.3">
      <c r="J149" s="41" t="s">
        <v>237</v>
      </c>
    </row>
    <row r="150" spans="10:10" x14ac:dyDescent="0.3">
      <c r="J150" s="41" t="s">
        <v>238</v>
      </c>
    </row>
    <row r="151" spans="10:10" x14ac:dyDescent="0.3">
      <c r="J151" s="41" t="s">
        <v>239</v>
      </c>
    </row>
    <row r="152" spans="10:10" x14ac:dyDescent="0.3">
      <c r="J152" s="41" t="s">
        <v>240</v>
      </c>
    </row>
    <row r="153" spans="10:10" x14ac:dyDescent="0.3">
      <c r="J153" s="41" t="s">
        <v>241</v>
      </c>
    </row>
    <row r="154" spans="10:10" x14ac:dyDescent="0.3">
      <c r="J154" s="41" t="s">
        <v>242</v>
      </c>
    </row>
    <row r="155" spans="10:10" x14ac:dyDescent="0.3">
      <c r="J155" s="41" t="s">
        <v>243</v>
      </c>
    </row>
  </sheetData>
  <pageMargins left="0.7" right="0.7" top="0.75" bottom="0.75" header="0.3" footer="0.3"/>
  <pageSetup paperSize="17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ADAA0-A7F3-469B-B5FA-78BA9C423A14}">
  <sheetPr codeName="Hoja5"/>
  <dimension ref="A1:AJ73"/>
  <sheetViews>
    <sheetView topLeftCell="A30" workbookViewId="0">
      <selection activeCell="D29" sqref="D29"/>
    </sheetView>
  </sheetViews>
  <sheetFormatPr baseColWidth="10" defaultRowHeight="14.4" x14ac:dyDescent="0.3"/>
  <cols>
    <col min="1" max="1" width="16.6640625" customWidth="1"/>
    <col min="2" max="2" width="37" customWidth="1"/>
  </cols>
  <sheetData>
    <row r="1" spans="1:2" x14ac:dyDescent="0.3">
      <c r="A1" s="5" t="s">
        <v>94</v>
      </c>
      <c r="B1" s="5" t="s">
        <v>95</v>
      </c>
    </row>
    <row r="2" spans="1:2" x14ac:dyDescent="0.3">
      <c r="A2" s="7"/>
    </row>
    <row r="3" spans="1:2" x14ac:dyDescent="0.3">
      <c r="A3" s="7"/>
    </row>
    <row r="4" spans="1:2" x14ac:dyDescent="0.3">
      <c r="A4" s="7"/>
    </row>
    <row r="5" spans="1:2" x14ac:dyDescent="0.3">
      <c r="A5" s="7"/>
    </row>
    <row r="6" spans="1:2" x14ac:dyDescent="0.3">
      <c r="A6" s="7"/>
    </row>
    <row r="7" spans="1:2" x14ac:dyDescent="0.3">
      <c r="A7" s="7"/>
    </row>
    <row r="8" spans="1:2" x14ac:dyDescent="0.3">
      <c r="A8" s="7"/>
    </row>
    <row r="9" spans="1:2" x14ac:dyDescent="0.3">
      <c r="A9" s="7"/>
    </row>
    <row r="10" spans="1:2" x14ac:dyDescent="0.3">
      <c r="A10" s="7"/>
    </row>
    <row r="11" spans="1:2" x14ac:dyDescent="0.3">
      <c r="A11" s="7"/>
    </row>
    <row r="12" spans="1:2" x14ac:dyDescent="0.3">
      <c r="A12" s="7"/>
    </row>
    <row r="13" spans="1:2" x14ac:dyDescent="0.3">
      <c r="A13" s="7"/>
    </row>
    <row r="14" spans="1:2" x14ac:dyDescent="0.3">
      <c r="A14" s="7"/>
    </row>
    <row r="15" spans="1:2" x14ac:dyDescent="0.3">
      <c r="A15" s="7"/>
    </row>
    <row r="16" spans="1:2" x14ac:dyDescent="0.3">
      <c r="A16" s="7"/>
    </row>
    <row r="17" spans="1:1" x14ac:dyDescent="0.3">
      <c r="A17" s="7"/>
    </row>
    <row r="18" spans="1:1" x14ac:dyDescent="0.3">
      <c r="A18" s="7"/>
    </row>
    <row r="19" spans="1:1" x14ac:dyDescent="0.3">
      <c r="A19" s="7"/>
    </row>
    <row r="20" spans="1:1" x14ac:dyDescent="0.3">
      <c r="A20" s="7"/>
    </row>
    <row r="21" spans="1:1" x14ac:dyDescent="0.3">
      <c r="A21" s="7"/>
    </row>
    <row r="22" spans="1:1" x14ac:dyDescent="0.3">
      <c r="A22" s="7"/>
    </row>
    <row r="23" spans="1:1" x14ac:dyDescent="0.3">
      <c r="A23" s="7"/>
    </row>
    <row r="24" spans="1:1" x14ac:dyDescent="0.3">
      <c r="A24" s="7"/>
    </row>
    <row r="25" spans="1:1" x14ac:dyDescent="0.3">
      <c r="A25" s="7"/>
    </row>
    <row r="26" spans="1:1" x14ac:dyDescent="0.3">
      <c r="A26" s="7"/>
    </row>
    <row r="27" spans="1:1" x14ac:dyDescent="0.3">
      <c r="A27" s="7"/>
    </row>
    <row r="28" spans="1:1" x14ac:dyDescent="0.3">
      <c r="A28" s="7"/>
    </row>
    <row r="29" spans="1:1" x14ac:dyDescent="0.3">
      <c r="A29" s="7"/>
    </row>
    <row r="30" spans="1:1" x14ac:dyDescent="0.3">
      <c r="A30" s="7"/>
    </row>
    <row r="31" spans="1:1" x14ac:dyDescent="0.3">
      <c r="A31" s="7"/>
    </row>
    <row r="32" spans="1:1" x14ac:dyDescent="0.3">
      <c r="A32" s="7"/>
    </row>
    <row r="33" spans="1:36" x14ac:dyDescent="0.3">
      <c r="A33" s="7"/>
    </row>
    <row r="34" spans="1:36" x14ac:dyDescent="0.3">
      <c r="A34" s="7"/>
    </row>
    <row r="35" spans="1:36" x14ac:dyDescent="0.3">
      <c r="A35" s="7"/>
    </row>
    <row r="36" spans="1:36" s="28" customFormat="1" x14ac:dyDescent="0.3">
      <c r="A36" s="27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</row>
    <row r="37" spans="1:36" s="28" customFormat="1" x14ac:dyDescent="0.3">
      <c r="A37" s="2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</row>
    <row r="38" spans="1:36" x14ac:dyDescent="0.3">
      <c r="A38" s="7"/>
    </row>
    <row r="39" spans="1:36" x14ac:dyDescent="0.3">
      <c r="A39" s="7"/>
    </row>
    <row r="40" spans="1:36" x14ac:dyDescent="0.3">
      <c r="A40" s="7"/>
    </row>
    <row r="41" spans="1:36" x14ac:dyDescent="0.3">
      <c r="A41" s="7"/>
    </row>
    <row r="42" spans="1:36" x14ac:dyDescent="0.3">
      <c r="A42" s="7"/>
    </row>
    <row r="43" spans="1:36" x14ac:dyDescent="0.3">
      <c r="A43" s="7"/>
    </row>
    <row r="44" spans="1:36" x14ac:dyDescent="0.3">
      <c r="A44" s="7"/>
    </row>
    <row r="45" spans="1:36" x14ac:dyDescent="0.3">
      <c r="A45" s="7"/>
    </row>
    <row r="46" spans="1:36" x14ac:dyDescent="0.3">
      <c r="A46" s="7"/>
    </row>
    <row r="47" spans="1:36" x14ac:dyDescent="0.3">
      <c r="A47" s="7"/>
    </row>
    <row r="48" spans="1:36" x14ac:dyDescent="0.3">
      <c r="A48" s="7"/>
    </row>
    <row r="49" spans="1:1" x14ac:dyDescent="0.3">
      <c r="A49" s="7"/>
    </row>
    <row r="50" spans="1:1" x14ac:dyDescent="0.3">
      <c r="A50" s="7"/>
    </row>
    <row r="51" spans="1:1" x14ac:dyDescent="0.3">
      <c r="A51" s="7"/>
    </row>
    <row r="52" spans="1:1" x14ac:dyDescent="0.3">
      <c r="A52" s="7"/>
    </row>
    <row r="53" spans="1:1" x14ac:dyDescent="0.3">
      <c r="A53" s="7"/>
    </row>
    <row r="54" spans="1:1" x14ac:dyDescent="0.3">
      <c r="A54" s="7"/>
    </row>
    <row r="55" spans="1:1" x14ac:dyDescent="0.3">
      <c r="A55" s="7"/>
    </row>
    <row r="56" spans="1:1" x14ac:dyDescent="0.3">
      <c r="A56" s="7"/>
    </row>
    <row r="57" spans="1:1" x14ac:dyDescent="0.3">
      <c r="A57" s="7"/>
    </row>
    <row r="58" spans="1:1" x14ac:dyDescent="0.3">
      <c r="A58" s="7"/>
    </row>
    <row r="59" spans="1:1" x14ac:dyDescent="0.3">
      <c r="A59" s="7"/>
    </row>
    <row r="60" spans="1:1" x14ac:dyDescent="0.3">
      <c r="A60" s="7"/>
    </row>
    <row r="61" spans="1:1" x14ac:dyDescent="0.3">
      <c r="A61" s="7"/>
    </row>
    <row r="62" spans="1:1" x14ac:dyDescent="0.3">
      <c r="A62" s="7"/>
    </row>
    <row r="63" spans="1:1" x14ac:dyDescent="0.3">
      <c r="A63" s="7"/>
    </row>
    <row r="64" spans="1:1" x14ac:dyDescent="0.3">
      <c r="A64" s="7"/>
    </row>
    <row r="65" spans="1:1" x14ac:dyDescent="0.3">
      <c r="A65" s="7"/>
    </row>
    <row r="66" spans="1:1" x14ac:dyDescent="0.3">
      <c r="A66" s="7"/>
    </row>
    <row r="67" spans="1:1" x14ac:dyDescent="0.3">
      <c r="A67" s="7"/>
    </row>
    <row r="68" spans="1:1" x14ac:dyDescent="0.3">
      <c r="A68" s="7"/>
    </row>
    <row r="69" spans="1:1" x14ac:dyDescent="0.3">
      <c r="A69" s="7"/>
    </row>
    <row r="70" spans="1:1" x14ac:dyDescent="0.3">
      <c r="A70" s="7"/>
    </row>
    <row r="71" spans="1:1" x14ac:dyDescent="0.3">
      <c r="A71" s="7"/>
    </row>
    <row r="72" spans="1:1" x14ac:dyDescent="0.3">
      <c r="A72" s="7"/>
    </row>
    <row r="73" spans="1:1" x14ac:dyDescent="0.3">
      <c r="A73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21</vt:i4>
      </vt:variant>
    </vt:vector>
  </HeadingPairs>
  <TitlesOfParts>
    <vt:vector size="26" baseType="lpstr">
      <vt:lpstr>PLANTILLA</vt:lpstr>
      <vt:lpstr>EmpleadosGeneral</vt:lpstr>
      <vt:lpstr>Supervisores</vt:lpstr>
      <vt:lpstr>Parámetros</vt:lpstr>
      <vt:lpstr>Festivos</vt:lpstr>
      <vt:lpstr>Parámetros!Anio</vt:lpstr>
      <vt:lpstr>Anios</vt:lpstr>
      <vt:lpstr>Codigos</vt:lpstr>
      <vt:lpstr>CodigosLista</vt:lpstr>
      <vt:lpstr>Contrasena</vt:lpstr>
      <vt:lpstr>EmpCedulas</vt:lpstr>
      <vt:lpstr>EmpNombres</vt:lpstr>
      <vt:lpstr>FactorDominicalComp</vt:lpstr>
      <vt:lpstr>FactorDominicalNoComp</vt:lpstr>
      <vt:lpstr>FestivosFechas</vt:lpstr>
      <vt:lpstr>ListaSupervisores</vt:lpstr>
      <vt:lpstr>MapCentro</vt:lpstr>
      <vt:lpstr>MapSup</vt:lpstr>
      <vt:lpstr>MaxDiasQuincena</vt:lpstr>
      <vt:lpstr>MaxExtra</vt:lpstr>
      <vt:lpstr>MaxHorasSemana</vt:lpstr>
      <vt:lpstr>MaxJornalesCentro</vt:lpstr>
      <vt:lpstr>MaxRecargoNocturno</vt:lpstr>
      <vt:lpstr>Meses</vt:lpstr>
      <vt:lpstr>Parámetros!MesTexto</vt:lpstr>
      <vt:lpstr>PasoExtra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 Grupo Maestra</dc:creator>
  <cp:lastModifiedBy>TI Grupo Maestra</cp:lastModifiedBy>
  <dcterms:created xsi:type="dcterms:W3CDTF">2015-06-05T18:19:34Z</dcterms:created>
  <dcterms:modified xsi:type="dcterms:W3CDTF">2026-07-15T17:13:57Z</dcterms:modified>
</cp:coreProperties>
</file>